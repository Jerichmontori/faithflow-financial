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05212D6-1E19-455E-8BCC-D4BC790AA183}" xr6:coauthVersionLast="47" xr6:coauthVersionMax="47" xr10:uidLastSave="{00000000-0000-0000-0000-000000000000}"/>
  <bookViews>
    <workbookView xWindow="-20610" yWindow="2490" windowWidth="20730" windowHeight="11160" xr2:uid="{4F544CE0-2D78-458E-B1C8-81EA02B1EFAE}"/>
  </bookViews>
  <sheets>
    <sheet name="warta 19" sheetId="1" r:id="rId1"/>
  </sheets>
  <externalReferences>
    <externalReference r:id="rId2"/>
  </externalReferences>
  <definedNames>
    <definedName name="_xlnm._FilterDatabase" localSheetId="0" hidden="1">'warta 19'!$A$5:$R$5</definedName>
    <definedName name="_xlnm.Print_Area" localSheetId="0">'warta 19'!$A$1:$J$357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7" i="1" l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L289" i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M288" i="1"/>
  <c r="M287" i="1"/>
  <c r="M286" i="1"/>
  <c r="M285" i="1"/>
  <c r="M284" i="1"/>
  <c r="M283" i="1"/>
  <c r="M282" i="1"/>
  <c r="M281" i="1"/>
  <c r="M280" i="1"/>
  <c r="M279" i="1"/>
  <c r="M278" i="1"/>
  <c r="M277" i="1"/>
  <c r="F277" i="1"/>
  <c r="M276" i="1"/>
  <c r="C276" i="1"/>
  <c r="I276" i="1" s="1"/>
  <c r="M275" i="1"/>
  <c r="I275" i="1"/>
  <c r="C275" i="1"/>
  <c r="M274" i="1"/>
  <c r="C274" i="1"/>
  <c r="M273" i="1"/>
  <c r="L273" i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M272" i="1"/>
  <c r="M271" i="1"/>
  <c r="L271" i="1"/>
  <c r="L272" i="1" s="1"/>
  <c r="L269" i="1"/>
  <c r="L270" i="1" s="1"/>
  <c r="I269" i="1"/>
  <c r="G269" i="1"/>
  <c r="J267" i="1"/>
  <c r="J263" i="1"/>
  <c r="J258" i="1"/>
  <c r="J256" i="1"/>
  <c r="J254" i="1"/>
  <c r="J250" i="1"/>
  <c r="J247" i="1"/>
  <c r="J245" i="1"/>
  <c r="J239" i="1"/>
  <c r="J237" i="1"/>
  <c r="J235" i="1"/>
  <c r="J233" i="1"/>
  <c r="J231" i="1"/>
  <c r="J229" i="1"/>
  <c r="J227" i="1"/>
  <c r="J225" i="1"/>
  <c r="J223" i="1"/>
  <c r="J221" i="1"/>
  <c r="J218" i="1"/>
  <c r="J216" i="1"/>
  <c r="J214" i="1"/>
  <c r="J212" i="1"/>
  <c r="J210" i="1"/>
  <c r="J208" i="1"/>
  <c r="J206" i="1"/>
  <c r="J204" i="1"/>
  <c r="J202" i="1"/>
  <c r="J200" i="1"/>
  <c r="J198" i="1"/>
  <c r="J196" i="1"/>
  <c r="J194" i="1"/>
  <c r="J192" i="1"/>
  <c r="J190" i="1"/>
  <c r="J188" i="1"/>
  <c r="J186" i="1"/>
  <c r="J184" i="1"/>
  <c r="J182" i="1"/>
  <c r="J180" i="1"/>
  <c r="J178" i="1"/>
  <c r="J176" i="1"/>
  <c r="J173" i="1"/>
  <c r="J171" i="1"/>
  <c r="J169" i="1"/>
  <c r="J167" i="1"/>
  <c r="J158" i="1"/>
  <c r="J147" i="1"/>
  <c r="J144" i="1"/>
  <c r="J140" i="1"/>
  <c r="J138" i="1"/>
  <c r="J117" i="1"/>
  <c r="J110" i="1"/>
  <c r="J106" i="1"/>
  <c r="J101" i="1"/>
  <c r="J98" i="1"/>
  <c r="J96" i="1"/>
  <c r="J93" i="1"/>
  <c r="J91" i="1"/>
  <c r="J89" i="1"/>
  <c r="J83" i="1"/>
  <c r="J80" i="1"/>
  <c r="J77" i="1"/>
  <c r="J75" i="1"/>
  <c r="J67" i="1"/>
  <c r="J63" i="1"/>
  <c r="J60" i="1"/>
  <c r="J58" i="1"/>
  <c r="J56" i="1"/>
  <c r="J50" i="1"/>
  <c r="J48" i="1"/>
  <c r="J46" i="1"/>
  <c r="J44" i="1"/>
  <c r="J42" i="1"/>
  <c r="J39" i="1"/>
  <c r="J37" i="1"/>
  <c r="J32" i="1"/>
  <c r="J29" i="1"/>
  <c r="J27" i="1"/>
  <c r="J25" i="1"/>
  <c r="J23" i="1"/>
  <c r="J20" i="1"/>
  <c r="J18" i="1"/>
  <c r="J16" i="1"/>
  <c r="J14" i="1"/>
  <c r="J11" i="1"/>
  <c r="J9" i="1"/>
  <c r="J6" i="1"/>
  <c r="J5" i="1"/>
  <c r="L5" i="1" s="1"/>
  <c r="L6" i="1" l="1"/>
  <c r="J7" i="1" s="1"/>
  <c r="L7" i="1" s="1"/>
  <c r="J8" i="1" s="1"/>
  <c r="L8" i="1" s="1"/>
  <c r="L9" i="1" s="1"/>
  <c r="J10" i="1" s="1"/>
  <c r="L10" i="1" s="1"/>
  <c r="L11" i="1" s="1"/>
  <c r="J12" i="1" s="1"/>
  <c r="L12" i="1" s="1"/>
  <c r="J13" i="1" s="1"/>
  <c r="L13" i="1" s="1"/>
  <c r="L14" i="1" s="1"/>
  <c r="J15" i="1" s="1"/>
  <c r="L15" i="1" s="1"/>
  <c r="L16" i="1" s="1"/>
  <c r="J17" i="1" s="1"/>
  <c r="L17" i="1" s="1"/>
  <c r="L18" i="1" s="1"/>
  <c r="J19" i="1" s="1"/>
  <c r="L19" i="1" s="1"/>
  <c r="L20" i="1" s="1"/>
  <c r="J21" i="1" s="1"/>
  <c r="L21" i="1" s="1"/>
  <c r="J22" i="1" s="1"/>
  <c r="L22" i="1" s="1"/>
  <c r="L23" i="1" s="1"/>
  <c r="J24" i="1" s="1"/>
  <c r="L24" i="1" s="1"/>
  <c r="L25" i="1" s="1"/>
  <c r="J26" i="1" s="1"/>
  <c r="L26" i="1" s="1"/>
  <c r="L27" i="1" s="1"/>
  <c r="J28" i="1" s="1"/>
  <c r="L28" i="1" s="1"/>
  <c r="L29" i="1" s="1"/>
  <c r="J30" i="1" s="1"/>
  <c r="L30" i="1" s="1"/>
  <c r="J31" i="1" s="1"/>
  <c r="L31" i="1" s="1"/>
  <c r="L32" i="1" s="1"/>
  <c r="J33" i="1" s="1"/>
  <c r="L33" i="1" s="1"/>
  <c r="J34" i="1" s="1"/>
  <c r="L34" i="1" s="1"/>
  <c r="J35" i="1" s="1"/>
  <c r="L35" i="1" s="1"/>
  <c r="J36" i="1" s="1"/>
  <c r="L36" i="1" s="1"/>
  <c r="L37" i="1" s="1"/>
  <c r="J38" i="1" s="1"/>
  <c r="L38" i="1" s="1"/>
  <c r="L39" i="1" s="1"/>
  <c r="J40" i="1" s="1"/>
  <c r="L40" i="1" s="1"/>
  <c r="J41" i="1" s="1"/>
  <c r="L41" i="1" s="1"/>
  <c r="L42" i="1" s="1"/>
  <c r="J43" i="1" s="1"/>
  <c r="L43" i="1" s="1"/>
  <c r="L44" i="1" s="1"/>
  <c r="J45" i="1" s="1"/>
  <c r="L45" i="1" s="1"/>
  <c r="L46" i="1" s="1"/>
  <c r="J47" i="1" s="1"/>
  <c r="L47" i="1" s="1"/>
  <c r="L48" i="1" s="1"/>
  <c r="J49" i="1" s="1"/>
  <c r="L49" i="1" s="1"/>
  <c r="L50" i="1" s="1"/>
  <c r="J51" i="1" s="1"/>
  <c r="L51" i="1" s="1"/>
  <c r="J52" i="1" s="1"/>
  <c r="L52" i="1" s="1"/>
  <c r="J53" i="1" s="1"/>
  <c r="L53" i="1" s="1"/>
  <c r="J54" i="1" s="1"/>
  <c r="L54" i="1" s="1"/>
  <c r="J55" i="1" s="1"/>
  <c r="L55" i="1" s="1"/>
  <c r="L56" i="1" s="1"/>
  <c r="J57" i="1" s="1"/>
  <c r="L57" i="1" s="1"/>
  <c r="L58" i="1" s="1"/>
  <c r="J59" i="1" s="1"/>
  <c r="L59" i="1" s="1"/>
  <c r="L60" i="1" s="1"/>
  <c r="J61" i="1" s="1"/>
  <c r="L61" i="1" s="1"/>
  <c r="J62" i="1" s="1"/>
  <c r="L62" i="1" s="1"/>
  <c r="L63" i="1" s="1"/>
  <c r="J64" i="1" s="1"/>
  <c r="L64" i="1" s="1"/>
  <c r="J65" i="1" s="1"/>
  <c r="L65" i="1" s="1"/>
  <c r="J66" i="1" s="1"/>
  <c r="L66" i="1" s="1"/>
  <c r="L67" i="1" s="1"/>
  <c r="J68" i="1" s="1"/>
  <c r="L68" i="1" s="1"/>
  <c r="J69" i="1" s="1"/>
  <c r="L69" i="1" s="1"/>
  <c r="J70" i="1" s="1"/>
  <c r="L70" i="1" s="1"/>
  <c r="J71" i="1" s="1"/>
  <c r="L71" i="1" s="1"/>
  <c r="J72" i="1" s="1"/>
  <c r="L72" i="1" s="1"/>
  <c r="J73" i="1" s="1"/>
  <c r="L73" i="1" s="1"/>
  <c r="J74" i="1" s="1"/>
  <c r="L74" i="1" s="1"/>
  <c r="L75" i="1" s="1"/>
  <c r="J76" i="1" s="1"/>
  <c r="L76" i="1" s="1"/>
  <c r="L77" i="1" s="1"/>
  <c r="J78" i="1" s="1"/>
  <c r="L78" i="1" s="1"/>
  <c r="J79" i="1" s="1"/>
  <c r="L79" i="1" s="1"/>
  <c r="L80" i="1" s="1"/>
  <c r="J81" i="1" s="1"/>
  <c r="L81" i="1" s="1"/>
  <c r="J82" i="1" s="1"/>
  <c r="L82" i="1" s="1"/>
  <c r="L83" i="1" s="1"/>
  <c r="J84" i="1" s="1"/>
  <c r="L84" i="1" s="1"/>
  <c r="J85" i="1" s="1"/>
  <c r="L85" i="1" s="1"/>
  <c r="J86" i="1" s="1"/>
  <c r="L86" i="1" s="1"/>
  <c r="J87" i="1" s="1"/>
  <c r="L87" i="1" s="1"/>
  <c r="J88" i="1" s="1"/>
  <c r="L88" i="1" s="1"/>
  <c r="L89" i="1" s="1"/>
  <c r="J90" i="1" s="1"/>
  <c r="L90" i="1" s="1"/>
  <c r="L91" i="1" s="1"/>
  <c r="J92" i="1" s="1"/>
  <c r="L92" i="1" s="1"/>
  <c r="L93" i="1" s="1"/>
  <c r="J94" i="1" s="1"/>
  <c r="L94" i="1" s="1"/>
  <c r="J95" i="1" s="1"/>
  <c r="L95" i="1" s="1"/>
  <c r="L96" i="1" s="1"/>
  <c r="J97" i="1" s="1"/>
  <c r="L97" i="1" s="1"/>
  <c r="L98" i="1" s="1"/>
  <c r="J99" i="1" s="1"/>
  <c r="L99" i="1" s="1"/>
  <c r="J100" i="1" s="1"/>
  <c r="L100" i="1" s="1"/>
  <c r="L101" i="1" s="1"/>
  <c r="J102" i="1" s="1"/>
  <c r="L102" i="1" s="1"/>
  <c r="J103" i="1" s="1"/>
  <c r="L103" i="1" s="1"/>
  <c r="J104" i="1" s="1"/>
  <c r="L104" i="1" s="1"/>
  <c r="J105" i="1" s="1"/>
  <c r="L105" i="1" s="1"/>
  <c r="L106" i="1" s="1"/>
  <c r="J107" i="1" s="1"/>
  <c r="L107" i="1" s="1"/>
  <c r="J108" i="1" s="1"/>
  <c r="L108" i="1" s="1"/>
  <c r="J109" i="1" s="1"/>
  <c r="L109" i="1" s="1"/>
  <c r="L110" i="1" s="1"/>
  <c r="J111" i="1" s="1"/>
  <c r="L111" i="1" s="1"/>
  <c r="J112" i="1" s="1"/>
  <c r="L112" i="1" s="1"/>
  <c r="J113" i="1" s="1"/>
  <c r="L113" i="1" s="1"/>
  <c r="J114" i="1" s="1"/>
  <c r="L114" i="1" s="1"/>
  <c r="J115" i="1" s="1"/>
  <c r="L115" i="1" s="1"/>
  <c r="J116" i="1" s="1"/>
  <c r="L116" i="1" s="1"/>
  <c r="L117" i="1" s="1"/>
  <c r="J118" i="1" s="1"/>
  <c r="L118" i="1" s="1"/>
  <c r="J119" i="1" s="1"/>
  <c r="L119" i="1" s="1"/>
  <c r="J120" i="1" s="1"/>
  <c r="L120" i="1" s="1"/>
  <c r="J121" i="1" s="1"/>
  <c r="L121" i="1" s="1"/>
  <c r="J122" i="1" s="1"/>
  <c r="L122" i="1" s="1"/>
  <c r="J123" i="1" s="1"/>
  <c r="L123" i="1" s="1"/>
  <c r="J124" i="1" s="1"/>
  <c r="L124" i="1" s="1"/>
  <c r="J125" i="1" s="1"/>
  <c r="L125" i="1" s="1"/>
  <c r="J126" i="1" s="1"/>
  <c r="L126" i="1" s="1"/>
  <c r="J127" i="1" s="1"/>
  <c r="L127" i="1" s="1"/>
  <c r="J128" i="1" s="1"/>
  <c r="L128" i="1" s="1"/>
  <c r="J129" i="1" s="1"/>
  <c r="L129" i="1" s="1"/>
  <c r="J130" i="1" s="1"/>
  <c r="L130" i="1" s="1"/>
  <c r="J131" i="1" s="1"/>
  <c r="L131" i="1" s="1"/>
  <c r="J132" i="1" s="1"/>
  <c r="L132" i="1" s="1"/>
  <c r="J133" i="1" s="1"/>
  <c r="L133" i="1" s="1"/>
  <c r="J134" i="1" s="1"/>
  <c r="L134" i="1" s="1"/>
  <c r="J135" i="1" s="1"/>
  <c r="L135" i="1" s="1"/>
  <c r="J136" i="1" s="1"/>
  <c r="L136" i="1" s="1"/>
  <c r="J137" i="1" s="1"/>
  <c r="L137" i="1" s="1"/>
  <c r="L138" i="1" s="1"/>
  <c r="J139" i="1" s="1"/>
  <c r="L139" i="1" s="1"/>
  <c r="L140" i="1" s="1"/>
  <c r="J141" i="1" s="1"/>
  <c r="L141" i="1" s="1"/>
  <c r="J142" i="1" s="1"/>
  <c r="L142" i="1" s="1"/>
  <c r="J143" i="1" s="1"/>
  <c r="L143" i="1" s="1"/>
  <c r="L144" i="1" s="1"/>
  <c r="J145" i="1" s="1"/>
  <c r="L145" i="1" s="1"/>
  <c r="J146" i="1" s="1"/>
  <c r="L146" i="1" s="1"/>
  <c r="L147" i="1" s="1"/>
  <c r="J148" i="1" s="1"/>
  <c r="L148" i="1" s="1"/>
  <c r="J149" i="1" s="1"/>
  <c r="L149" i="1" s="1"/>
  <c r="J150" i="1" s="1"/>
  <c r="L150" i="1" s="1"/>
  <c r="J151" i="1" s="1"/>
  <c r="L151" i="1" s="1"/>
  <c r="J152" i="1" s="1"/>
  <c r="L152" i="1" s="1"/>
  <c r="J153" i="1" s="1"/>
  <c r="L153" i="1" s="1"/>
  <c r="J154" i="1" s="1"/>
  <c r="L154" i="1" s="1"/>
  <c r="J155" i="1" s="1"/>
  <c r="L155" i="1" s="1"/>
  <c r="J156" i="1" s="1"/>
  <c r="L156" i="1" s="1"/>
  <c r="J157" i="1" s="1"/>
  <c r="L157" i="1" s="1"/>
  <c r="L158" i="1" s="1"/>
  <c r="J159" i="1" s="1"/>
  <c r="L159" i="1" s="1"/>
  <c r="J160" i="1" s="1"/>
  <c r="L160" i="1" s="1"/>
  <c r="J161" i="1" s="1"/>
  <c r="L161" i="1" s="1"/>
  <c r="J162" i="1" s="1"/>
  <c r="L162" i="1" s="1"/>
  <c r="J163" i="1" s="1"/>
  <c r="L163" i="1" s="1"/>
  <c r="J164" i="1" s="1"/>
  <c r="L164" i="1" s="1"/>
  <c r="J165" i="1" s="1"/>
  <c r="L165" i="1" s="1"/>
  <c r="J166" i="1" s="1"/>
  <c r="L166" i="1" s="1"/>
  <c r="L167" i="1" s="1"/>
  <c r="J168" i="1" s="1"/>
  <c r="L168" i="1" s="1"/>
  <c r="L169" i="1" s="1"/>
  <c r="J170" i="1" s="1"/>
  <c r="L170" i="1" s="1"/>
  <c r="L171" i="1" s="1"/>
  <c r="J172" i="1" s="1"/>
  <c r="L172" i="1" s="1"/>
  <c r="L173" i="1" s="1"/>
  <c r="J174" i="1" s="1"/>
  <c r="L174" i="1" s="1"/>
  <c r="J175" i="1" s="1"/>
  <c r="L175" i="1" s="1"/>
  <c r="L176" i="1" s="1"/>
  <c r="J177" i="1" s="1"/>
  <c r="L177" i="1" s="1"/>
  <c r="L178" i="1" s="1"/>
  <c r="J179" i="1" s="1"/>
  <c r="L179" i="1" s="1"/>
  <c r="L180" i="1" s="1"/>
  <c r="J181" i="1" s="1"/>
  <c r="L181" i="1" s="1"/>
  <c r="L182" i="1" s="1"/>
  <c r="J183" i="1" s="1"/>
  <c r="L183" i="1" s="1"/>
  <c r="L184" i="1" s="1"/>
  <c r="J185" i="1" s="1"/>
  <c r="L185" i="1" s="1"/>
  <c r="L186" i="1" s="1"/>
  <c r="J187" i="1" s="1"/>
  <c r="L187" i="1" s="1"/>
  <c r="L188" i="1" s="1"/>
  <c r="J189" i="1" s="1"/>
  <c r="L189" i="1" s="1"/>
  <c r="L190" i="1" s="1"/>
  <c r="J191" i="1" s="1"/>
  <c r="L191" i="1" s="1"/>
  <c r="L192" i="1" s="1"/>
  <c r="J193" i="1" s="1"/>
  <c r="L193" i="1" s="1"/>
  <c r="L194" i="1" s="1"/>
  <c r="J195" i="1" s="1"/>
  <c r="L195" i="1" s="1"/>
  <c r="L196" i="1" s="1"/>
  <c r="J197" i="1" s="1"/>
  <c r="L197" i="1" s="1"/>
  <c r="L198" i="1" s="1"/>
  <c r="J199" i="1" s="1"/>
  <c r="L199" i="1" s="1"/>
  <c r="L200" i="1" s="1"/>
  <c r="J201" i="1" s="1"/>
  <c r="L201" i="1" s="1"/>
  <c r="L202" i="1" s="1"/>
  <c r="J203" i="1" s="1"/>
  <c r="L203" i="1" s="1"/>
  <c r="L204" i="1" s="1"/>
  <c r="J205" i="1" s="1"/>
  <c r="L205" i="1" s="1"/>
  <c r="L206" i="1" s="1"/>
  <c r="J207" i="1" s="1"/>
  <c r="L207" i="1" s="1"/>
  <c r="L208" i="1" s="1"/>
  <c r="J209" i="1" s="1"/>
  <c r="L209" i="1" s="1"/>
  <c r="L210" i="1" s="1"/>
  <c r="J211" i="1" s="1"/>
  <c r="L211" i="1" s="1"/>
  <c r="L212" i="1" s="1"/>
  <c r="J213" i="1" s="1"/>
  <c r="L213" i="1" s="1"/>
  <c r="L214" i="1" s="1"/>
  <c r="J215" i="1" s="1"/>
  <c r="L215" i="1" s="1"/>
  <c r="L216" i="1" s="1"/>
  <c r="J217" i="1" s="1"/>
  <c r="L217" i="1" s="1"/>
  <c r="L218" i="1" s="1"/>
  <c r="J219" i="1" s="1"/>
  <c r="L219" i="1" s="1"/>
  <c r="J220" i="1" s="1"/>
  <c r="L220" i="1" s="1"/>
  <c r="L221" i="1" s="1"/>
  <c r="J222" i="1" s="1"/>
  <c r="L222" i="1" s="1"/>
  <c r="L223" i="1" s="1"/>
  <c r="J224" i="1" s="1"/>
  <c r="L224" i="1" s="1"/>
  <c r="L225" i="1" s="1"/>
  <c r="J226" i="1" s="1"/>
  <c r="L226" i="1" s="1"/>
  <c r="L227" i="1" s="1"/>
  <c r="J228" i="1" s="1"/>
  <c r="L228" i="1" s="1"/>
  <c r="L229" i="1" s="1"/>
  <c r="J230" i="1" s="1"/>
  <c r="L230" i="1" s="1"/>
  <c r="L231" i="1" s="1"/>
  <c r="J232" i="1" s="1"/>
  <c r="L232" i="1" s="1"/>
  <c r="L233" i="1" s="1"/>
  <c r="J234" i="1" s="1"/>
  <c r="L234" i="1" s="1"/>
  <c r="L235" i="1" s="1"/>
  <c r="J236" i="1" s="1"/>
  <c r="L236" i="1" s="1"/>
  <c r="L237" i="1" s="1"/>
  <c r="J238" i="1" s="1"/>
  <c r="L238" i="1" s="1"/>
  <c r="L239" i="1" s="1"/>
  <c r="J240" i="1" s="1"/>
  <c r="L240" i="1" s="1"/>
  <c r="J241" i="1" s="1"/>
  <c r="L241" i="1" s="1"/>
  <c r="J242" i="1" s="1"/>
  <c r="L242" i="1" s="1"/>
  <c r="J243" i="1" s="1"/>
  <c r="L243" i="1" s="1"/>
  <c r="J244" i="1" s="1"/>
  <c r="L244" i="1" s="1"/>
  <c r="L245" i="1" s="1"/>
  <c r="J246" i="1" s="1"/>
  <c r="L246" i="1" s="1"/>
  <c r="L247" i="1" s="1"/>
  <c r="J248" i="1" s="1"/>
  <c r="L248" i="1" s="1"/>
  <c r="J249" i="1" s="1"/>
  <c r="L249" i="1" s="1"/>
  <c r="L250" i="1" s="1"/>
  <c r="J251" i="1" s="1"/>
  <c r="L251" i="1" s="1"/>
  <c r="J252" i="1" s="1"/>
  <c r="L252" i="1" s="1"/>
  <c r="J253" i="1" s="1"/>
  <c r="L253" i="1" s="1"/>
  <c r="L254" i="1" s="1"/>
  <c r="J255" i="1" s="1"/>
  <c r="L255" i="1" s="1"/>
  <c r="L256" i="1" s="1"/>
  <c r="J257" i="1" s="1"/>
  <c r="L257" i="1" s="1"/>
  <c r="L258" i="1" s="1"/>
  <c r="J259" i="1" s="1"/>
  <c r="L259" i="1" s="1"/>
  <c r="J260" i="1" s="1"/>
  <c r="L260" i="1" s="1"/>
  <c r="J261" i="1" s="1"/>
  <c r="L261" i="1" s="1"/>
  <c r="J262" i="1" s="1"/>
  <c r="L262" i="1" s="1"/>
  <c r="L263" i="1" s="1"/>
  <c r="J264" i="1" s="1"/>
  <c r="L264" i="1" s="1"/>
  <c r="J265" i="1" s="1"/>
  <c r="L265" i="1" s="1"/>
  <c r="J266" i="1" s="1"/>
  <c r="L266" i="1" s="1"/>
  <c r="L267" i="1" s="1"/>
  <c r="J268" i="1" s="1"/>
  <c r="L268" i="1" s="1"/>
  <c r="C277" i="1"/>
  <c r="I277" i="1" s="1"/>
  <c r="I274" i="1"/>
</calcChain>
</file>

<file path=xl/sharedStrings.xml><?xml version="1.0" encoding="utf-8"?>
<sst xmlns="http://schemas.openxmlformats.org/spreadsheetml/2006/main" count="1385" uniqueCount="298">
  <si>
    <t xml:space="preserve"> WARTA  KEUANGAN</t>
  </si>
  <si>
    <t>Laporan Penerimaan &amp; Pengeluaran Kas Jemaat Tanggal 10 Agustus S/d 14 Agustus2026</t>
  </si>
  <si>
    <t>Tgl</t>
  </si>
  <si>
    <t>Uraian</t>
  </si>
  <si>
    <t>Masuk (Rp)</t>
  </si>
  <si>
    <t>Keluar (Rp)</t>
  </si>
  <si>
    <t>Saldo (Rp)</t>
  </si>
  <si>
    <t>Saldo Awal</t>
  </si>
  <si>
    <t>10 Agust</t>
  </si>
  <si>
    <t>Pemuda &amp; Remaja Kolom (Gabungan)</t>
  </si>
  <si>
    <t>P/R Kolom 4 (5) bulan Juli</t>
  </si>
  <si>
    <t>P/R Kolom 4 (2) Bulan Agustus</t>
  </si>
  <si>
    <t xml:space="preserve"> Persembahan Ibadah Kantor Jemaat</t>
  </si>
  <si>
    <t>Ibadah kantor Jemaat (10) Bulan Agustus</t>
  </si>
  <si>
    <t>Persembahan Ibadah Kolom Wanita/Kaum Ibu</t>
  </si>
  <si>
    <t>Wki Kolom 19 (4,18,25) Bulan Juli</t>
  </si>
  <si>
    <t>WKI Kolom 19 (1,8) Bulan Agustus</t>
  </si>
  <si>
    <t>Ibadah Perkunjungan Keluarga Rutin</t>
  </si>
  <si>
    <t>Kolom 20 (7) Bulan Agustus</t>
  </si>
  <si>
    <t>PERSEMBAHAN IBADAH ORGANISASI/RUKUN</t>
  </si>
  <si>
    <t>Persembahan kegiatan Baca Mazmur</t>
  </si>
  <si>
    <t xml:space="preserve"> Persembahan Ibadah Senin Berdoa</t>
  </si>
  <si>
    <t>Senin Berdoa Kolom 20 (10) Bulan Agustus</t>
  </si>
  <si>
    <t>Persembahan Ibadah Kolom Pria/Kaum Bapa</t>
  </si>
  <si>
    <t>PKB Kolom 19 (5,12,19,26) Bulan Juli</t>
  </si>
  <si>
    <t>PKB Kolom 19 (2,9) Bulan Oktober</t>
  </si>
  <si>
    <t>11 Agust</t>
  </si>
  <si>
    <t>Persembahan Ibadah Kolom - Syukur HUT Pernikahan</t>
  </si>
  <si>
    <t>Kel Samel Talumingan Kolom 8</t>
  </si>
  <si>
    <t>Dana Duka</t>
  </si>
  <si>
    <t>Kolom 14 (5 Duka)</t>
  </si>
  <si>
    <t>Persembahan Ibadah Kompelka ARAS / Rayon Wanita/Kaum Ibu</t>
  </si>
  <si>
    <t>WKI Martha Maria (6,13,19,27) Bulan Juni</t>
  </si>
  <si>
    <t>KOlom 14 (5,14,21,24) Bulan Juni</t>
  </si>
  <si>
    <t>Kolom 22 (6) Bulan Agustus</t>
  </si>
  <si>
    <t>PKB Kolom 14 Bulan April</t>
  </si>
  <si>
    <t>PKB Kolom 14 Bulan Mei</t>
  </si>
  <si>
    <t>PKB Kolom 14 Bulan Juni</t>
  </si>
  <si>
    <t>PKB Kolom 14 Bulan Juli</t>
  </si>
  <si>
    <t>12 Agust</t>
  </si>
  <si>
    <t>Persembahan Ibadah Kolom - Syukur HUT Kelahiran/Organisasi</t>
  </si>
  <si>
    <t>Persembahan HUT Kolom 16 Bulan Juli</t>
  </si>
  <si>
    <t>WKI Kolom 17 (10) Bulan Agustus</t>
  </si>
  <si>
    <t>WKI Kolom 27 (3) Bulan Agustus</t>
  </si>
  <si>
    <t xml:space="preserve"> Persembahan TK Bumotik</t>
  </si>
  <si>
    <t>Tk Bumotik (12) Bulan Agustus</t>
  </si>
  <si>
    <t>Sampul PBTK</t>
  </si>
  <si>
    <t>PBTK Kel Kawulusan Tumiwa Kolom 27 Bulan Agustus</t>
  </si>
  <si>
    <t>Senin Berdoa Kolom 16</t>
  </si>
  <si>
    <t>Sampul Pengucapan Syukur</t>
  </si>
  <si>
    <t>Multimedia BUMOTIK</t>
  </si>
  <si>
    <t>Kolom 27 (14,22,29) Bulan Juli</t>
  </si>
  <si>
    <t>Kolom 27 (9) Bulan Agustus</t>
  </si>
  <si>
    <t>Kolom 16 (25) Bulan Juni</t>
  </si>
  <si>
    <t>Kolom 16 (2,9,16,22,30) Bulan Juli</t>
  </si>
  <si>
    <t>Kolom 16 (6) Bulan Agustus</t>
  </si>
  <si>
    <t>PKB Kolom 27 (2) Bulan Agustus</t>
  </si>
  <si>
    <t>13 Agust</t>
  </si>
  <si>
    <t>Persembahan Ibadah Kolom - Syukur Keluarga Lainnya</t>
  </si>
  <si>
    <t>Sukur Baptisan &amp; HUT Kel Lembong Rumopa Kolom 22</t>
  </si>
  <si>
    <t>Persembahan Ibadah Kolom ASM</t>
  </si>
  <si>
    <t>ASM Kolom 22 Bulan Juli</t>
  </si>
  <si>
    <t>ASM Kolom 11 (11) Bulan Agustus</t>
  </si>
  <si>
    <t>Kolom 23 (29) Bulan Juli</t>
  </si>
  <si>
    <t>Kolom 23 (5,12) Bulan Agustus</t>
  </si>
  <si>
    <t>Kolom 28 (5,11) BUlan Agustus</t>
  </si>
  <si>
    <t>WKI Kolom 16 (4,11,18,25) Bulan Mei</t>
  </si>
  <si>
    <t>WKI Kolom 16 (1,8,15,22,29) Bulan Juni</t>
  </si>
  <si>
    <t>WKI Kolom 16 (6,13,20,27) Bulan Juli</t>
  </si>
  <si>
    <t>WKI Kolom 16 (3,10) Bulan Agustus</t>
  </si>
  <si>
    <t>WKI Kolom 28 (8) Bulan Agustus</t>
  </si>
  <si>
    <t>WKI Kolom 22 (15,22,29) Bulan Juli</t>
  </si>
  <si>
    <t>WKI Kolom 22 (5,12) Bulan Agustus</t>
  </si>
  <si>
    <t xml:space="preserve"> Persembahan SD GMIM 05</t>
  </si>
  <si>
    <t>SD GMIM 5 Manado (10) Bulan Agustus</t>
  </si>
  <si>
    <t>PKB Kolom 22 (19,28) Bulan Juli</t>
  </si>
  <si>
    <t>PKB Kolom 22 (9) Bulan Agustus</t>
  </si>
  <si>
    <t>Persembahan Ibadah Malam</t>
  </si>
  <si>
    <t>Kotak 9 Agustus  (17.00)</t>
  </si>
  <si>
    <t>Kotak 9 Feb  (17.00)</t>
  </si>
  <si>
    <t>Ekstra 9 Agustus  (17.00)</t>
  </si>
  <si>
    <t>Ekstra 9 Feb  (17.00)</t>
  </si>
  <si>
    <t>PKB Kolom 9 (9) Bulan Agustus</t>
  </si>
  <si>
    <t>PKB Kolom 26 (26) Bulan Juli</t>
  </si>
  <si>
    <t>PKB Kolom 26 (6) Bulan Agustus</t>
  </si>
  <si>
    <t>PKB Kolom 3 (19,25) Bulan Juli</t>
  </si>
  <si>
    <t>PKB Kolom 3 (2,9) Bulan Agustus</t>
  </si>
  <si>
    <t>Persembahan Kantor Notaris</t>
  </si>
  <si>
    <t>Kas Masuk</t>
  </si>
  <si>
    <t>Ambil Dari Bank 15 Januari</t>
  </si>
  <si>
    <t>Persembahan Ibadah Pagi</t>
  </si>
  <si>
    <t>Kotak 9 Agustus  (09.00)</t>
  </si>
  <si>
    <t>Kotak 9 Feb  (09.00)</t>
  </si>
  <si>
    <t>Ekstra 9 Agustus  (09.00)</t>
  </si>
  <si>
    <t>Ekstra 9 Feb  (09.00)</t>
  </si>
  <si>
    <t>Kolom 11 Bulan Mei S/d Juli</t>
  </si>
  <si>
    <t>Persembahan Ibadah Subuh</t>
  </si>
  <si>
    <t>Kotak 9 Agustus  (06.00)</t>
  </si>
  <si>
    <t>Kotak 9 Feb  (06.00)</t>
  </si>
  <si>
    <t>Ekstra 9 Agustus  (06.00)</t>
  </si>
  <si>
    <t>Ekstra 9 Feb  (06.00)</t>
  </si>
  <si>
    <t>WKI Kolom 26 (16,24) Bulan Juli</t>
  </si>
  <si>
    <t>WKI Kolom 26 (1,8,13) Bulan Agustus</t>
  </si>
  <si>
    <t>WKI Kolom 9 (4,11,18,26) Bulan Juli</t>
  </si>
  <si>
    <t>WKI Kolom 9 (1,8) Bulan Agustus</t>
  </si>
  <si>
    <t>Persembahan Persepuluhan</t>
  </si>
  <si>
    <t>Kel Kermite Jonas Kolom 10</t>
  </si>
  <si>
    <t>Simpatisan Kolom 4</t>
  </si>
  <si>
    <t>NN Kolom 11</t>
  </si>
  <si>
    <t>Kolom 9 (13) Bulan Agustus</t>
  </si>
  <si>
    <t>Kolom 26 (30) Bulan Juli</t>
  </si>
  <si>
    <t>Kolom 26 (6,13) Bulan Agustus</t>
  </si>
  <si>
    <t>Kolom 10 (23,27) Bulan Juli</t>
  </si>
  <si>
    <t>Kolom 10 (6,13) Bulan Agustus</t>
  </si>
  <si>
    <t>Kolom 20 (13) Bulan Agustus</t>
  </si>
  <si>
    <t>Sampul HUT Kelahiran</t>
  </si>
  <si>
    <t>Agus Bie Saleh Kolom 13</t>
  </si>
  <si>
    <t>Norce Wagunu Kolom 9</t>
  </si>
  <si>
    <t>Serly Madonsa Kolom 9</t>
  </si>
  <si>
    <t>Aura Dedene Kolom 23</t>
  </si>
  <si>
    <t>Ahutsa Wengke Kolom 5</t>
  </si>
  <si>
    <t>Jeremy Pinontoan Kolom 9</t>
  </si>
  <si>
    <t>Altje A Pando Kolom 12</t>
  </si>
  <si>
    <t>Djoli Bawiling Kolom 14</t>
  </si>
  <si>
    <t>Djondri Pelumbu Kolom 3</t>
  </si>
  <si>
    <t>Julaeha Ishak Kolom 23</t>
  </si>
  <si>
    <t>Agustha Taidi Kolom 4</t>
  </si>
  <si>
    <t>Alman Kapisi Kolom 23</t>
  </si>
  <si>
    <t>Manly Pelealu Kolom 10</t>
  </si>
  <si>
    <t>Agil Faro Cody Kolom 23</t>
  </si>
  <si>
    <t>Juwita J Liud Kolom 4</t>
  </si>
  <si>
    <t>Jennisea Tatary Kolom 4</t>
  </si>
  <si>
    <t>Aurelia Lakumani Kolom 20</t>
  </si>
  <si>
    <t>Giovany Allezo Mandry Kolom 20</t>
  </si>
  <si>
    <t>Daniel Kamber Kolom 2</t>
  </si>
  <si>
    <t>Ibu Mulingka Rungkat Kolom 19</t>
  </si>
  <si>
    <t>ASM Kolom 9 (2,9) Bulan Agustus</t>
  </si>
  <si>
    <t>Sampul HUT Pernikahan</t>
  </si>
  <si>
    <t>Kel Wagunu Madonsa Kolom 9</t>
  </si>
  <si>
    <t>Kel Pinontoan Pando</t>
  </si>
  <si>
    <t>Persembahan Ibadah Kompelka ARAS / Rayon Lansia</t>
  </si>
  <si>
    <t>Lansia Rayon 5 (20) Bulan Juli</t>
  </si>
  <si>
    <t>Lansia Rayon 5 (10) Bulan Agustus</t>
  </si>
  <si>
    <t>NN1</t>
  </si>
  <si>
    <t>NN2</t>
  </si>
  <si>
    <t>NN3</t>
  </si>
  <si>
    <t>NN4</t>
  </si>
  <si>
    <t>Kel Montori Kansil Kolom 11</t>
  </si>
  <si>
    <t>Ibu Samel Talumingan Kolom 8</t>
  </si>
  <si>
    <t>Ibu Dintje Rungkat Toad Kolom 19</t>
  </si>
  <si>
    <t>NN Kolom 26</t>
  </si>
  <si>
    <t>Angela Rompas</t>
  </si>
  <si>
    <t>David Manginteno</t>
  </si>
  <si>
    <t>Kel Koloay Manopo Kolom 17</t>
  </si>
  <si>
    <t>Kel Sandana Montolalu Kolom 16</t>
  </si>
  <si>
    <t>Kel Kandou Ekel Kolom 29 bulan Agustus.</t>
  </si>
  <si>
    <t xml:space="preserve">PBTK Kel Montori Kansil Kolom 11 </t>
  </si>
  <si>
    <t xml:space="preserve">Kel Montolalu Pilat </t>
  </si>
  <si>
    <t>Kel Rambing Roring Kolom 11 (Mei S/d Agustus)</t>
  </si>
  <si>
    <t>Kel Baraguna Rotinsulu (Agustus) Kolom 13</t>
  </si>
  <si>
    <t>Kel Kawulur Manembu (Agustus) Kolom 10</t>
  </si>
  <si>
    <t>Pembulatan Rekening Bank</t>
  </si>
  <si>
    <t>Pembulatan</t>
  </si>
  <si>
    <t>Permen</t>
  </si>
  <si>
    <t xml:space="preserve">Permen Minggu 16 Agustus </t>
  </si>
  <si>
    <t>- Air Mineral (1 dos/minggu)</t>
  </si>
  <si>
    <t>Air Mineral MInggu 16 Agustus</t>
  </si>
  <si>
    <t>APK Baterei</t>
  </si>
  <si>
    <t>Baterai Untuk Kantor Jemaat</t>
  </si>
  <si>
    <t>Baterai Minggu 16 Agustus</t>
  </si>
  <si>
    <t>APK Amplop</t>
  </si>
  <si>
    <t>6 Dos Amplop</t>
  </si>
  <si>
    <t>APK Lilin</t>
  </si>
  <si>
    <t>3 Lilin Pilar @ 32.000</t>
  </si>
  <si>
    <t>Konsumsi Snack Ibadah Sesi 1</t>
  </si>
  <si>
    <t>KOnsumsi Snack Sesi 1 MInggu 16 Agustus</t>
  </si>
  <si>
    <t>Laundry Taplak, Gorden, Stola, Kain Mimbar</t>
  </si>
  <si>
    <t>Laundry Taplak</t>
  </si>
  <si>
    <t>Petugas Multimedia (Live Streaming Ibadah Pagi)</t>
  </si>
  <si>
    <t>Multimedia Ibadah Tanggal 16 Agustus (1 Sesi)</t>
  </si>
  <si>
    <t>APK Perlengkapan Kebersihan Kantor &amp; gereja</t>
  </si>
  <si>
    <t>Alat Kebersihan Kantor Jemaat</t>
  </si>
  <si>
    <t>BIAYA TAMU GEREJA</t>
  </si>
  <si>
    <t>Tamu KPRS Remaja Sinode</t>
  </si>
  <si>
    <t>Petugas LED (Ibadah Subuh &amp; Malam)</t>
  </si>
  <si>
    <t>Led Minggu 16 Agustus (2 Sesi)</t>
  </si>
  <si>
    <t>Transport Pelatih Kantoria</t>
  </si>
  <si>
    <t>Transportasi Komisi Musik Bulan Agustus</t>
  </si>
  <si>
    <t>Soundman</t>
  </si>
  <si>
    <t>Soundman Ibadah Tanggal 16 Agustus (3 Sesi)</t>
  </si>
  <si>
    <t>Pemain Keyboard Ibadah Hari Minggu</t>
  </si>
  <si>
    <t>Keyboard Ibadah Tanggal 16 Agustus (3 Sesi)</t>
  </si>
  <si>
    <t>Prokantor Ibadah Minggu</t>
  </si>
  <si>
    <t>Prokantor Ibadah Tanggal 16 Agustus (3 Sesi)</t>
  </si>
  <si>
    <t>Perbaikan Peralatan/Inventaris</t>
  </si>
  <si>
    <t>Service AC dan Tambah Freon (1 AC Gereja)</t>
  </si>
  <si>
    <t>Sampul-sampul (Cetak Pengadaan)</t>
  </si>
  <si>
    <t>10 dos Sampul Syukur HUT Jemaat</t>
  </si>
  <si>
    <t>Khadim Wilayah</t>
  </si>
  <si>
    <t>Khadim Wilayah 16 Agustus (Pagi)</t>
  </si>
  <si>
    <t>Konsumsi Ringan Kantor Jemaat</t>
  </si>
  <si>
    <t>Konsumsi Kantor Jemaat Minggu 1 Dan 2 Juli</t>
  </si>
  <si>
    <t>Bendahara BPMJ</t>
  </si>
  <si>
    <t>Tunjangan Struktural Bendahara BPMJ bln Agustus</t>
  </si>
  <si>
    <t>Sekretaris BPMJ</t>
  </si>
  <si>
    <t>Tunjangan Struktural Sekretaris BPMJ bln Agustus</t>
  </si>
  <si>
    <t>Wakil Ketua BPMJ</t>
  </si>
  <si>
    <t>Tunjangan Struktural Wakil Ketua BPMJ bln Agustus</t>
  </si>
  <si>
    <t>Konsumsi Panji Yosua</t>
  </si>
  <si>
    <t>Konsumsi Panji Yosua Bulan Agustus</t>
  </si>
  <si>
    <t>Honor Tenaga Orientator</t>
  </si>
  <si>
    <t>Sdri.Kezia Lasut Bln Agustus</t>
  </si>
  <si>
    <t>Khadim (jadwal) Non SK Penempatan Bumotik</t>
  </si>
  <si>
    <t>Pdt Richard Tinggue 9 Agustus</t>
  </si>
  <si>
    <t>Khadim Domisili 9 Agustus  (Pagi)</t>
  </si>
  <si>
    <t>Wifi (Gereja,Kantor Jemaat &amp; Pastori)</t>
  </si>
  <si>
    <t>Wifi Kantor Jemaat, Pastori 1 s/d 5 Bln Agustus</t>
  </si>
  <si>
    <t>Anggota BPMJ/Koordinator Rayon</t>
  </si>
  <si>
    <t>Tunjangan 5 Anggota BPMJ Bulan Agustus</t>
  </si>
  <si>
    <t>Anak Konsumsi Ibadah ASM Aras di Gereja (Max Rp.300.000/mgu)</t>
  </si>
  <si>
    <t>Konsumsi Anak Sekolah Minggu Bulan Agustus</t>
  </si>
  <si>
    <t>Pundi Ekstra untuk Kegiatan Wilayah</t>
  </si>
  <si>
    <t xml:space="preserve">Pundi Ekstra u/ Wilayah Agustus </t>
  </si>
  <si>
    <t>Uang Sidang Pelsus</t>
  </si>
  <si>
    <t>UAng Sidang Pelsus Bulan Juli</t>
  </si>
  <si>
    <t>Honor Guru TK + THR</t>
  </si>
  <si>
    <t>Honor Guru TK Bulan Agustus (1 Orang @ 2.250.000)</t>
  </si>
  <si>
    <t>Ketua BPMJ</t>
  </si>
  <si>
    <t>Tunjangan Struktural Ketua BPMJ bln Agustus</t>
  </si>
  <si>
    <t>Honor Guru SD + THR</t>
  </si>
  <si>
    <t>Honor Guru SD Bulan Agustus ( 2 Org @ 2.250.000 )</t>
  </si>
  <si>
    <t>Remaja</t>
  </si>
  <si>
    <t>Subsidi Remaja</t>
  </si>
  <si>
    <t>Listrik (Gereja,Kantor Jemaat &amp; Pastori)</t>
  </si>
  <si>
    <t>Listrik Kantor Jemaat &amp; 2 Pastori Bulan Agustus</t>
  </si>
  <si>
    <t>Listrik Pastori Pdt Sonny Bulan Agustus</t>
  </si>
  <si>
    <t>Listrik Pastori Pdt Andre Bulan Agustus</t>
  </si>
  <si>
    <t>Listrik Lift Bulan Agustus</t>
  </si>
  <si>
    <t>Listrik Gereja Bulan Agustus</t>
  </si>
  <si>
    <t>Tunjangan Fungsional (u/ Pj Ketua Jemaat)</t>
  </si>
  <si>
    <t>TF Pdt. Handrie M Dengah M.Th bln Agustus</t>
  </si>
  <si>
    <t>Gaji Pegawai Gereja (sesuai PK)</t>
  </si>
  <si>
    <t>Gaji Pegawai Admin Gereja 1 orang Bulan Agustus</t>
  </si>
  <si>
    <t>Gaji Pegawai Keuangan Gereja 1 Orang  Bulan Agustus</t>
  </si>
  <si>
    <t>Honor Kostor ( Sesuai PK)</t>
  </si>
  <si>
    <t>Honor Kostor Sinyo Bulan Agustus</t>
  </si>
  <si>
    <t>Honor Kostor Melky Bulan Agustus</t>
  </si>
  <si>
    <t>Honor Kostor Lidya Bulan Agustus</t>
  </si>
  <si>
    <t xml:space="preserve">SENTRALISASI KE WILAYAH : 5% </t>
  </si>
  <si>
    <t xml:space="preserve">Sentralisasi Wilayah Agustus </t>
  </si>
  <si>
    <t>Dana Pelayanan Diaken &amp; Penatua ( Non BPMJ)</t>
  </si>
  <si>
    <t xml:space="preserve">Dana Pelayanan Bulan Agustus (55 orang) </t>
  </si>
  <si>
    <t>Kas Keluar</t>
  </si>
  <si>
    <t>Setor Ke Bank Minggu 9 Agustus Sesi 1</t>
  </si>
  <si>
    <t>Setor Ke Bank Minggu 9 Agustus Sesi 2</t>
  </si>
  <si>
    <t>Setor Ke Bank Minggu 9 Agustus Sesi 3</t>
  </si>
  <si>
    <t>Setoran Kantor Jemaat 14 Agustus</t>
  </si>
  <si>
    <t>Tunjangan Fungsional (u/ Pendeta Jemaat)</t>
  </si>
  <si>
    <t>TF Pdt. Andre Kandou S.Th Bln Agustus</t>
  </si>
  <si>
    <t>TF Pdt. Sonny Krisen M.Teol Bln Agustus</t>
  </si>
  <si>
    <t>TF Pdt. Melki Kaparang S.Th Bln Agustus</t>
  </si>
  <si>
    <t>SENTRALISASI KE SINODE : 35%</t>
  </si>
  <si>
    <t xml:space="preserve">Sentralisasi Sinode Agustus </t>
  </si>
  <si>
    <t>TOTAL</t>
  </si>
  <si>
    <t>REKAPITULASI</t>
  </si>
  <si>
    <t>DANA RUTIN</t>
  </si>
  <si>
    <t>SIMPANAN BANK</t>
  </si>
  <si>
    <t>JUMLAH</t>
  </si>
  <si>
    <t>1.</t>
  </si>
  <si>
    <t>Saldo Minggu Lalu</t>
  </si>
  <si>
    <t>2.</t>
  </si>
  <si>
    <t>Penerimaan Minggu ini</t>
  </si>
  <si>
    <t>3.</t>
  </si>
  <si>
    <t>Pengeluaran Minggu ini</t>
  </si>
  <si>
    <t>4.</t>
  </si>
  <si>
    <t xml:space="preserve"> </t>
  </si>
  <si>
    <t>Terima kasih kepada seluruh jemaat dan para tamu yang telah berpartispasi memberikan persembahan,</t>
  </si>
  <si>
    <t>baik dalam bentuk Persembahan Persepuluhan, serta Persembahan Syukur lainnya.</t>
  </si>
  <si>
    <t>Tuhan Yesus Memberkati.</t>
  </si>
  <si>
    <t>Tikala Baru, 14 Agustus 2026</t>
  </si>
  <si>
    <t>BADAN PEKERJA MAJELIS JEMAAT</t>
  </si>
  <si>
    <t>Ketua</t>
  </si>
  <si>
    <t xml:space="preserve">     Bendahara</t>
  </si>
  <si>
    <t>Pdt. Handrie M Dengah M.Th</t>
  </si>
  <si>
    <r>
      <t xml:space="preserve">   </t>
    </r>
    <r>
      <rPr>
        <b/>
        <u/>
        <sz val="11"/>
        <rFont val="Tahoma"/>
        <family val="2"/>
      </rPr>
      <t>Dkn.Ny.A.Tangkudung-Dondokambey</t>
    </r>
  </si>
  <si>
    <t>* Jika ada persembahan-persembahan yang sudah diberikan, tetapi belum tercantum/masuk dalam Warta Jemaat ini</t>
  </si>
  <si>
    <t xml:space="preserve">                                                                                          dapat diklarifikasikan  dikantor jemaat pada waktu jam kerja *</t>
  </si>
  <si>
    <t>DANA DIAKONIA DUKA JEMAAT</t>
  </si>
  <si>
    <t xml:space="preserve">kolom </t>
  </si>
  <si>
    <t xml:space="preserve">Tunggakkan </t>
  </si>
  <si>
    <t>Kolom</t>
  </si>
  <si>
    <t>kolom</t>
  </si>
  <si>
    <t>1 duka</t>
  </si>
  <si>
    <t>Lunas</t>
  </si>
  <si>
    <t>6 duka</t>
  </si>
  <si>
    <t>2 duka</t>
  </si>
  <si>
    <t>3 duka</t>
  </si>
  <si>
    <t>9 duka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</si>
</sst>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_);_(@_)"/>
    <numFmt numFmtId="166" formatCode="#,##0;[Red]#,##0"/>
    <numFmt numFmtId="167" formatCode="_(&quot;Rp&quot;* #,##0_);_(&quot;Rp&quot;* \(#,##0\);_(&quot;Rp&quot;* &quot;-&quot;_);_(@_)"/>
  </numFmts>
  <fonts count="2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20"/>
      <name val="Tahoma"/>
      <family val="2"/>
    </font>
    <font>
      <b/>
      <sz val="13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2"/>
      <color theme="1"/>
      <name val="Tahoma"/>
      <family val="2"/>
    </font>
    <font>
      <sz val="9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b/>
      <u/>
      <sz val="11"/>
      <name val="Tahoma"/>
      <family val="2"/>
    </font>
    <font>
      <u/>
      <sz val="11"/>
      <name val="Tahoma"/>
      <family val="2"/>
    </font>
    <font>
      <u/>
      <sz val="11"/>
      <color rgb="FF000099"/>
      <name val="Tahoma"/>
      <family val="2"/>
    </font>
    <font>
      <u/>
      <sz val="11"/>
      <color indexed="12"/>
      <name val="Tahoma"/>
      <family val="2"/>
    </font>
    <font>
      <sz val="10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0"/>
      <color theme="1"/>
      <name val="Tahon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quotePrefix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64" fontId="4" fillId="0" borderId="0" xfId="1" quotePrefix="1" applyNumberFormat="1" applyFont="1" applyAlignment="1">
      <alignment horizontal="left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left" vertical="top"/>
    </xf>
    <xf numFmtId="164" fontId="7" fillId="0" borderId="3" xfId="1" applyNumberFormat="1" applyFont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16" fontId="8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164" fontId="7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6" fontId="5" fillId="0" borderId="2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64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10" fillId="0" borderId="0" xfId="0" applyNumberFormat="1" applyFont="1"/>
    <xf numFmtId="164" fontId="7" fillId="0" borderId="0" xfId="1" applyNumberFormat="1" applyFont="1" applyBorder="1" applyAlignment="1">
      <alignment vertic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2" xfId="0" applyFont="1" applyBorder="1"/>
    <xf numFmtId="0" fontId="7" fillId="0" borderId="11" xfId="0" quotePrefix="1" applyFont="1" applyBorder="1" applyAlignment="1">
      <alignment horizontal="center"/>
    </xf>
    <xf numFmtId="0" fontId="9" fillId="0" borderId="0" xfId="0" applyFont="1"/>
    <xf numFmtId="0" fontId="7" fillId="0" borderId="0" xfId="0" applyFont="1"/>
    <xf numFmtId="0" fontId="5" fillId="0" borderId="0" xfId="0" quotePrefix="1" applyFont="1" applyAlignment="1">
      <alignment horizontal="center"/>
    </xf>
    <xf numFmtId="0" fontId="12" fillId="0" borderId="11" xfId="0" quotePrefix="1" applyFont="1" applyBorder="1" applyAlignment="1">
      <alignment horizontal="center"/>
    </xf>
    <xf numFmtId="0" fontId="12" fillId="0" borderId="0" xfId="0" applyFont="1"/>
    <xf numFmtId="0" fontId="8" fillId="0" borderId="0" xfId="0" quotePrefix="1" applyFont="1" applyAlignment="1">
      <alignment horizontal="center"/>
    </xf>
    <xf numFmtId="164" fontId="8" fillId="0" borderId="0" xfId="1" quotePrefix="1" applyNumberFormat="1" applyFont="1" applyBorder="1" applyAlignment="1">
      <alignment horizontal="center"/>
    </xf>
    <xf numFmtId="0" fontId="0" fillId="0" borderId="12" xfId="0" applyBorder="1"/>
    <xf numFmtId="165" fontId="0" fillId="0" borderId="0" xfId="0" applyNumberFormat="1"/>
    <xf numFmtId="166" fontId="0" fillId="0" borderId="0" xfId="0" applyNumberForma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4" fontId="8" fillId="0" borderId="0" xfId="1" applyNumberFormat="1" applyFont="1" applyBorder="1"/>
    <xf numFmtId="0" fontId="12" fillId="0" borderId="11" xfId="0" applyFont="1" applyBorder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top" wrapText="1"/>
    </xf>
    <xf numFmtId="0" fontId="15" fillId="0" borderId="0" xfId="0" applyFont="1"/>
    <xf numFmtId="164" fontId="15" fillId="0" borderId="0" xfId="1" applyNumberFormat="1" applyFont="1" applyBorder="1"/>
    <xf numFmtId="164" fontId="16" fillId="0" borderId="0" xfId="1" applyNumberFormat="1" applyFont="1" applyBorder="1" applyAlignment="1" applyProtection="1"/>
    <xf numFmtId="0" fontId="17" fillId="0" borderId="1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0" xfId="0" applyFont="1" applyAlignment="1">
      <alignment horizontal="center"/>
    </xf>
    <xf numFmtId="164" fontId="17" fillId="0" borderId="0" xfId="1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164" fontId="18" fillId="0" borderId="2" xfId="1" applyNumberFormat="1" applyFont="1" applyBorder="1" applyAlignment="1">
      <alignment vertical="center"/>
    </xf>
    <xf numFmtId="0" fontId="18" fillId="0" borderId="16" xfId="0" applyFont="1" applyBorder="1" applyAlignment="1">
      <alignment vertical="center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164" fontId="9" fillId="0" borderId="2" xfId="1" applyNumberFormat="1" applyFont="1" applyBorder="1"/>
    <xf numFmtId="0" fontId="9" fillId="3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7" fontId="0" fillId="0" borderId="0" xfId="0" applyNumberFormat="1"/>
    <xf numFmtId="41" fontId="0" fillId="0" borderId="0" xfId="0" applyNumberFormat="1"/>
    <xf numFmtId="0" fontId="9" fillId="0" borderId="2" xfId="0" applyFont="1" applyBorder="1"/>
    <xf numFmtId="164" fontId="0" fillId="0" borderId="0" xfId="1" applyNumberFormat="1" applyFont="1"/>
    <xf numFmtId="0" fontId="20" fillId="0" borderId="0" xfId="0" applyFont="1"/>
  </cellXfs>
  <cellStyles count="2">
    <cellStyle name="Comma" xfId="1" builtinId="3"/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386045</xdr:colOff>
      <xdr:row>278</xdr:row>
      <xdr:rowOff>151839</xdr:rowOff>
    </xdr:from>
    <xdr:to>
      <xdr:col>2</xdr:col>
      <xdr:colOff>252694</xdr:colOff>
      <xdr:row>289</xdr:row>
      <xdr:rowOff>48630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5AE09-AF96-4A2E-8D1F-5D5D23FBA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370" y="54206214"/>
          <a:ext cx="1314449" cy="23351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WARTA%20DAN%20peNERIMAAN%20uANG.xlsx" TargetMode="External"/><Relationship Id="rId1" Type="http://schemas.openxmlformats.org/officeDocument/2006/relationships/externalLinkPath" Target="WARTA%20DAN%20peNERIMAAN%20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-18"/>
      <sheetName val="Sheet4"/>
      <sheetName val="Sheet1"/>
      <sheetName val="warta 19"/>
      <sheetName val="LAPORAN QRIS "/>
    </sheetNames>
    <sheetDataSet>
      <sheetData sheetId="0"/>
      <sheetData sheetId="1">
        <row r="4">
          <cell r="A4" t="str">
            <v>Kas Masuk</v>
          </cell>
        </row>
        <row r="5">
          <cell r="A5" t="str">
            <v>Ambil Dari Bank 15 Januari</v>
          </cell>
          <cell r="B5">
            <v>128870950</v>
          </cell>
        </row>
        <row r="6">
          <cell r="A6" t="str">
            <v>Kas Keluar</v>
          </cell>
        </row>
        <row r="7">
          <cell r="A7" t="str">
            <v>Setor Ke Bank Minggu 9 Agustus Sesi 1</v>
          </cell>
          <cell r="C7">
            <v>7347000</v>
          </cell>
        </row>
        <row r="8">
          <cell r="A8" t="str">
            <v>Setor Ke Bank Minggu 9 Agustus Sesi 2</v>
          </cell>
          <cell r="C8">
            <v>6243000</v>
          </cell>
        </row>
        <row r="9">
          <cell r="A9" t="str">
            <v>Setor Ke Bank Minggu 9 Agustus Sesi 3</v>
          </cell>
          <cell r="C9">
            <v>4465000</v>
          </cell>
        </row>
        <row r="10">
          <cell r="A10" t="str">
            <v>Grand Total</v>
          </cell>
          <cell r="B10">
            <v>128870950</v>
          </cell>
          <cell r="C10">
            <v>18055000</v>
          </cell>
        </row>
        <row r="11">
          <cell r="C11">
            <v>9350000</v>
          </cell>
        </row>
        <row r="12">
          <cell r="C12">
            <v>27405000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5962-FEB0-436E-B6DB-FF0BFAEE83FD}">
  <dimension ref="A1:V398"/>
  <sheetViews>
    <sheetView tabSelected="1" view="pageBreakPreview" zoomScaleNormal="100" zoomScaleSheetLayoutView="100" workbookViewId="0">
      <selection activeCell="I270" sqref="I270"/>
    </sheetView>
  </sheetViews>
  <sheetFormatPr defaultRowHeight="15"/>
  <cols>
    <col min="1" max="1" width="10.42578125" customWidth="1"/>
    <col min="2" max="2" width="21.7109375" customWidth="1"/>
    <col min="3" max="3" width="16" customWidth="1"/>
    <col min="4" max="4" width="7.85546875" customWidth="1"/>
    <col min="5" max="5" width="8.85546875" customWidth="1"/>
    <col min="6" max="6" width="3" customWidth="1"/>
    <col min="7" max="7" width="13.28515625" style="99" customWidth="1"/>
    <col min="8" max="8" width="10" style="99" customWidth="1"/>
    <col min="9" max="9" width="18.85546875" style="99" bestFit="1" customWidth="1"/>
    <col min="10" max="10" width="15.85546875" bestFit="1" customWidth="1"/>
    <col min="11" max="11" width="14.42578125" bestFit="1" customWidth="1"/>
    <col min="12" max="12" width="10" customWidth="1"/>
    <col min="13" max="13" width="9.28515625" bestFit="1" customWidth="1"/>
    <col min="15" max="15" width="12.140625" customWidth="1"/>
    <col min="16" max="16" width="16.140625" bestFit="1" customWidth="1"/>
    <col min="18" max="18" width="11.140625" bestFit="1" customWidth="1"/>
    <col min="22" max="22" width="22.42578125" customWidth="1"/>
  </cols>
  <sheetData>
    <row r="1" spans="1:12" ht="24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 ht="24.95" customHeight="1" thickBo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2" ht="16.5" customHeight="1" thickTop="1">
      <c r="A3" s="3"/>
      <c r="B3" s="3"/>
      <c r="C3" s="3"/>
      <c r="D3" s="3"/>
      <c r="E3" s="3"/>
      <c r="F3" s="3"/>
      <c r="G3" s="4"/>
      <c r="H3" s="4"/>
      <c r="I3" s="3"/>
      <c r="J3" s="3"/>
    </row>
    <row r="4" spans="1:12" ht="20.100000000000001" customHeight="1">
      <c r="A4" s="5" t="s">
        <v>2</v>
      </c>
      <c r="B4" s="6" t="s">
        <v>3</v>
      </c>
      <c r="C4" s="7"/>
      <c r="D4" s="7"/>
      <c r="E4" s="7"/>
      <c r="F4" s="8"/>
      <c r="G4" s="9" t="s">
        <v>4</v>
      </c>
      <c r="H4" s="10"/>
      <c r="I4" s="11" t="s">
        <v>5</v>
      </c>
      <c r="J4" s="12" t="s">
        <v>6</v>
      </c>
    </row>
    <row r="5" spans="1:12" ht="20.100000000000001" customHeight="1">
      <c r="A5" s="5"/>
      <c r="B5" s="6" t="s">
        <v>7</v>
      </c>
      <c r="C5" s="7"/>
      <c r="D5" s="7"/>
      <c r="E5" s="7"/>
      <c r="F5" s="8"/>
      <c r="G5" s="13"/>
      <c r="H5" s="14"/>
      <c r="I5" s="15"/>
      <c r="J5" s="15" t="str">
        <f t="shared" ref="J5:J174" si="0">IF(AND(G5="",I5=""),"",L4+VALUE(G5)-VALUE(I5))</f>
        <v/>
      </c>
      <c r="K5" s="16"/>
      <c r="L5">
        <f t="shared" ref="L5:L68" si="1">IF(J5="",L4,J5)</f>
        <v>0</v>
      </c>
    </row>
    <row r="6" spans="1:12" ht="15" customHeight="1">
      <c r="A6" s="17" t="s">
        <v>8</v>
      </c>
      <c r="B6" s="18" t="s">
        <v>9</v>
      </c>
      <c r="C6" s="18" t="s">
        <v>9</v>
      </c>
      <c r="D6" s="18" t="s">
        <v>9</v>
      </c>
      <c r="E6" s="18" t="s">
        <v>9</v>
      </c>
      <c r="F6" s="18" t="s">
        <v>9</v>
      </c>
      <c r="G6" s="19"/>
      <c r="H6" s="19"/>
      <c r="I6" s="15"/>
      <c r="J6" s="15" t="str">
        <f t="shared" si="0"/>
        <v/>
      </c>
      <c r="K6" s="16"/>
      <c r="L6">
        <f t="shared" si="1"/>
        <v>0</v>
      </c>
    </row>
    <row r="7" spans="1:12" ht="15" customHeight="1">
      <c r="A7" s="20"/>
      <c r="B7" s="18" t="s">
        <v>10</v>
      </c>
      <c r="C7" s="18" t="s">
        <v>10</v>
      </c>
      <c r="D7" s="18" t="s">
        <v>10</v>
      </c>
      <c r="E7" s="18" t="s">
        <v>10</v>
      </c>
      <c r="F7" s="18" t="s">
        <v>10</v>
      </c>
      <c r="G7" s="19">
        <v>16000</v>
      </c>
      <c r="H7" s="19"/>
      <c r="I7" s="15"/>
      <c r="J7" s="15">
        <f t="shared" si="0"/>
        <v>16000</v>
      </c>
      <c r="K7" s="16"/>
      <c r="L7">
        <f t="shared" si="1"/>
        <v>16000</v>
      </c>
    </row>
    <row r="8" spans="1:12" ht="15" customHeight="1">
      <c r="A8" s="17"/>
      <c r="B8" s="18" t="s">
        <v>11</v>
      </c>
      <c r="C8" s="18" t="s">
        <v>11</v>
      </c>
      <c r="D8" s="18" t="s">
        <v>11</v>
      </c>
      <c r="E8" s="18" t="s">
        <v>11</v>
      </c>
      <c r="F8" s="18" t="s">
        <v>11</v>
      </c>
      <c r="G8" s="19">
        <v>31000</v>
      </c>
      <c r="H8" s="19"/>
      <c r="I8" s="15"/>
      <c r="J8" s="15">
        <f t="shared" si="0"/>
        <v>47000</v>
      </c>
      <c r="K8" s="16"/>
      <c r="L8">
        <f t="shared" si="1"/>
        <v>47000</v>
      </c>
    </row>
    <row r="9" spans="1:12" ht="15" customHeight="1">
      <c r="A9" s="17"/>
      <c r="B9" s="18" t="s">
        <v>12</v>
      </c>
      <c r="C9" s="18" t="s">
        <v>12</v>
      </c>
      <c r="D9" s="18" t="s">
        <v>12</v>
      </c>
      <c r="E9" s="18" t="s">
        <v>12</v>
      </c>
      <c r="F9" s="18" t="s">
        <v>12</v>
      </c>
      <c r="G9" s="19"/>
      <c r="H9" s="19"/>
      <c r="I9" s="15"/>
      <c r="J9" s="15" t="str">
        <f t="shared" si="0"/>
        <v/>
      </c>
      <c r="K9" s="16"/>
      <c r="L9">
        <f t="shared" si="1"/>
        <v>47000</v>
      </c>
    </row>
    <row r="10" spans="1:12" ht="15" customHeight="1">
      <c r="A10" s="17"/>
      <c r="B10" s="18" t="s">
        <v>13</v>
      </c>
      <c r="C10" s="18" t="s">
        <v>13</v>
      </c>
      <c r="D10" s="18" t="s">
        <v>13</v>
      </c>
      <c r="E10" s="18" t="s">
        <v>13</v>
      </c>
      <c r="F10" s="18" t="s">
        <v>13</v>
      </c>
      <c r="G10" s="19">
        <v>18000</v>
      </c>
      <c r="H10" s="19"/>
      <c r="I10" s="15"/>
      <c r="J10" s="15">
        <f t="shared" si="0"/>
        <v>65000</v>
      </c>
      <c r="K10" s="16"/>
      <c r="L10">
        <f t="shared" si="1"/>
        <v>65000</v>
      </c>
    </row>
    <row r="11" spans="1:12" ht="15" customHeight="1">
      <c r="A11" s="17"/>
      <c r="B11" s="18" t="s">
        <v>14</v>
      </c>
      <c r="C11" s="18" t="s">
        <v>14</v>
      </c>
      <c r="D11" s="18" t="s">
        <v>14</v>
      </c>
      <c r="E11" s="18" t="s">
        <v>14</v>
      </c>
      <c r="F11" s="18" t="s">
        <v>14</v>
      </c>
      <c r="G11" s="19"/>
      <c r="H11" s="19"/>
      <c r="I11" s="15"/>
      <c r="J11" s="15" t="str">
        <f t="shared" si="0"/>
        <v/>
      </c>
      <c r="K11" s="16"/>
      <c r="L11">
        <f t="shared" si="1"/>
        <v>65000</v>
      </c>
    </row>
    <row r="12" spans="1:12" ht="15" customHeight="1">
      <c r="A12" s="17"/>
      <c r="B12" s="18" t="s">
        <v>15</v>
      </c>
      <c r="C12" s="18" t="s">
        <v>15</v>
      </c>
      <c r="D12" s="18" t="s">
        <v>15</v>
      </c>
      <c r="E12" s="18" t="s">
        <v>15</v>
      </c>
      <c r="F12" s="18" t="s">
        <v>15</v>
      </c>
      <c r="G12" s="19">
        <v>147000</v>
      </c>
      <c r="H12" s="19"/>
      <c r="I12" s="15"/>
      <c r="J12" s="15">
        <f t="shared" si="0"/>
        <v>212000</v>
      </c>
      <c r="K12" s="16"/>
      <c r="L12">
        <f t="shared" si="1"/>
        <v>212000</v>
      </c>
    </row>
    <row r="13" spans="1:12" ht="15" customHeight="1">
      <c r="A13" s="17"/>
      <c r="B13" s="18" t="s">
        <v>16</v>
      </c>
      <c r="C13" s="18" t="s">
        <v>16</v>
      </c>
      <c r="D13" s="18" t="s">
        <v>16</v>
      </c>
      <c r="E13" s="18" t="s">
        <v>16</v>
      </c>
      <c r="F13" s="18" t="s">
        <v>16</v>
      </c>
      <c r="G13" s="19">
        <v>99000</v>
      </c>
      <c r="H13" s="19"/>
      <c r="I13" s="15"/>
      <c r="J13" s="15">
        <f t="shared" si="0"/>
        <v>311000</v>
      </c>
      <c r="K13" s="16"/>
      <c r="L13">
        <f t="shared" si="1"/>
        <v>311000</v>
      </c>
    </row>
    <row r="14" spans="1:12" ht="15" customHeight="1">
      <c r="A14" s="17"/>
      <c r="B14" s="18" t="s">
        <v>17</v>
      </c>
      <c r="C14" s="18" t="s">
        <v>17</v>
      </c>
      <c r="D14" s="18" t="s">
        <v>17</v>
      </c>
      <c r="E14" s="18" t="s">
        <v>17</v>
      </c>
      <c r="F14" s="18" t="s">
        <v>17</v>
      </c>
      <c r="G14" s="19"/>
      <c r="H14" s="19"/>
      <c r="I14" s="15"/>
      <c r="J14" s="15" t="str">
        <f t="shared" si="0"/>
        <v/>
      </c>
      <c r="K14" s="16"/>
      <c r="L14">
        <f t="shared" si="1"/>
        <v>311000</v>
      </c>
    </row>
    <row r="15" spans="1:12" ht="15" customHeight="1">
      <c r="A15" s="17"/>
      <c r="B15" s="18" t="s">
        <v>18</v>
      </c>
      <c r="C15" s="18" t="s">
        <v>18</v>
      </c>
      <c r="D15" s="18" t="s">
        <v>18</v>
      </c>
      <c r="E15" s="18" t="s">
        <v>18</v>
      </c>
      <c r="F15" s="18" t="s">
        <v>18</v>
      </c>
      <c r="G15" s="19">
        <v>82000</v>
      </c>
      <c r="H15" s="19"/>
      <c r="I15" s="15"/>
      <c r="J15" s="15">
        <f t="shared" si="0"/>
        <v>393000</v>
      </c>
      <c r="K15" s="16"/>
      <c r="L15">
        <f t="shared" si="1"/>
        <v>393000</v>
      </c>
    </row>
    <row r="16" spans="1:12" ht="15" customHeight="1">
      <c r="A16" s="17"/>
      <c r="B16" s="18" t="s">
        <v>19</v>
      </c>
      <c r="C16" s="18" t="s">
        <v>19</v>
      </c>
      <c r="D16" s="18" t="s">
        <v>19</v>
      </c>
      <c r="E16" s="18" t="s">
        <v>19</v>
      </c>
      <c r="F16" s="18" t="s">
        <v>19</v>
      </c>
      <c r="G16" s="19"/>
      <c r="H16" s="19"/>
      <c r="I16" s="15"/>
      <c r="J16" s="15" t="str">
        <f t="shared" si="0"/>
        <v/>
      </c>
      <c r="K16" s="16"/>
      <c r="L16">
        <f t="shared" si="1"/>
        <v>393000</v>
      </c>
    </row>
    <row r="17" spans="1:12" ht="15" customHeight="1">
      <c r="A17" s="17"/>
      <c r="B17" s="18" t="s">
        <v>20</v>
      </c>
      <c r="C17" s="18" t="s">
        <v>20</v>
      </c>
      <c r="D17" s="18" t="s">
        <v>20</v>
      </c>
      <c r="E17" s="18" t="s">
        <v>20</v>
      </c>
      <c r="F17" s="18" t="s">
        <v>20</v>
      </c>
      <c r="G17" s="19">
        <v>176000</v>
      </c>
      <c r="H17" s="19"/>
      <c r="I17" s="15"/>
      <c r="J17" s="15">
        <f t="shared" si="0"/>
        <v>569000</v>
      </c>
      <c r="K17" s="16"/>
      <c r="L17">
        <f t="shared" si="1"/>
        <v>569000</v>
      </c>
    </row>
    <row r="18" spans="1:12" ht="15" customHeight="1">
      <c r="A18" s="17"/>
      <c r="B18" s="18" t="s">
        <v>21</v>
      </c>
      <c r="C18" s="18" t="s">
        <v>21</v>
      </c>
      <c r="D18" s="18" t="s">
        <v>21</v>
      </c>
      <c r="E18" s="18" t="s">
        <v>21</v>
      </c>
      <c r="F18" s="18" t="s">
        <v>21</v>
      </c>
      <c r="G18" s="19"/>
      <c r="H18" s="19"/>
      <c r="I18" s="15"/>
      <c r="J18" s="15" t="str">
        <f t="shared" si="0"/>
        <v/>
      </c>
      <c r="K18" s="16"/>
      <c r="L18">
        <f t="shared" si="1"/>
        <v>569000</v>
      </c>
    </row>
    <row r="19" spans="1:12" ht="15" customHeight="1">
      <c r="A19" s="17"/>
      <c r="B19" s="18" t="s">
        <v>22</v>
      </c>
      <c r="C19" s="18" t="s">
        <v>22</v>
      </c>
      <c r="D19" s="18" t="s">
        <v>22</v>
      </c>
      <c r="E19" s="18" t="s">
        <v>22</v>
      </c>
      <c r="F19" s="18" t="s">
        <v>22</v>
      </c>
      <c r="G19" s="19">
        <v>50000</v>
      </c>
      <c r="H19" s="19"/>
      <c r="I19" s="15"/>
      <c r="J19" s="15">
        <f t="shared" si="0"/>
        <v>619000</v>
      </c>
      <c r="K19" s="16"/>
      <c r="L19">
        <f t="shared" si="1"/>
        <v>619000</v>
      </c>
    </row>
    <row r="20" spans="1:12" ht="15" customHeight="1">
      <c r="A20" s="17"/>
      <c r="B20" s="18" t="s">
        <v>23</v>
      </c>
      <c r="C20" s="18" t="s">
        <v>23</v>
      </c>
      <c r="D20" s="18" t="s">
        <v>23</v>
      </c>
      <c r="E20" s="18" t="s">
        <v>23</v>
      </c>
      <c r="F20" s="18" t="s">
        <v>23</v>
      </c>
      <c r="G20" s="19"/>
      <c r="H20" s="19"/>
      <c r="I20" s="15"/>
      <c r="J20" s="15" t="str">
        <f t="shared" si="0"/>
        <v/>
      </c>
      <c r="K20" s="16"/>
      <c r="L20">
        <f t="shared" si="1"/>
        <v>619000</v>
      </c>
    </row>
    <row r="21" spans="1:12" ht="15" customHeight="1">
      <c r="A21" s="17"/>
      <c r="B21" s="18" t="s">
        <v>24</v>
      </c>
      <c r="C21" s="18" t="s">
        <v>24</v>
      </c>
      <c r="D21" s="18" t="s">
        <v>24</v>
      </c>
      <c r="E21" s="18" t="s">
        <v>24</v>
      </c>
      <c r="F21" s="18" t="s">
        <v>24</v>
      </c>
      <c r="G21" s="19">
        <v>222000</v>
      </c>
      <c r="H21" s="19"/>
      <c r="I21" s="15"/>
      <c r="J21" s="15">
        <f t="shared" si="0"/>
        <v>841000</v>
      </c>
      <c r="K21" s="16"/>
      <c r="L21">
        <f t="shared" si="1"/>
        <v>841000</v>
      </c>
    </row>
    <row r="22" spans="1:12" ht="15" customHeight="1">
      <c r="A22" s="17"/>
      <c r="B22" s="18" t="s">
        <v>25</v>
      </c>
      <c r="C22" s="18" t="s">
        <v>25</v>
      </c>
      <c r="D22" s="18" t="s">
        <v>25</v>
      </c>
      <c r="E22" s="18" t="s">
        <v>25</v>
      </c>
      <c r="F22" s="18" t="s">
        <v>25</v>
      </c>
      <c r="G22" s="19">
        <v>163000</v>
      </c>
      <c r="H22" s="19"/>
      <c r="I22" s="15"/>
      <c r="J22" s="15">
        <f t="shared" si="0"/>
        <v>1004000</v>
      </c>
      <c r="K22" s="16"/>
      <c r="L22">
        <f t="shared" si="1"/>
        <v>1004000</v>
      </c>
    </row>
    <row r="23" spans="1:12" ht="15" customHeight="1">
      <c r="A23" s="17" t="s">
        <v>26</v>
      </c>
      <c r="B23" s="18" t="s">
        <v>27</v>
      </c>
      <c r="C23" s="18" t="s">
        <v>27</v>
      </c>
      <c r="D23" s="18" t="s">
        <v>27</v>
      </c>
      <c r="E23" s="18" t="s">
        <v>27</v>
      </c>
      <c r="F23" s="18" t="s">
        <v>27</v>
      </c>
      <c r="G23" s="19"/>
      <c r="H23" s="19"/>
      <c r="I23" s="15"/>
      <c r="J23" s="15" t="str">
        <f t="shared" si="0"/>
        <v/>
      </c>
      <c r="K23" s="16"/>
      <c r="L23">
        <f t="shared" si="1"/>
        <v>1004000</v>
      </c>
    </row>
    <row r="24" spans="1:12" ht="15" customHeight="1">
      <c r="A24" s="17"/>
      <c r="B24" s="18" t="s">
        <v>28</v>
      </c>
      <c r="C24" s="18" t="s">
        <v>28</v>
      </c>
      <c r="D24" s="18" t="s">
        <v>28</v>
      </c>
      <c r="E24" s="18" t="s">
        <v>28</v>
      </c>
      <c r="F24" s="18" t="s">
        <v>28</v>
      </c>
      <c r="G24" s="19">
        <v>100000</v>
      </c>
      <c r="H24" s="19"/>
      <c r="I24" s="15"/>
      <c r="J24" s="15">
        <f t="shared" si="0"/>
        <v>1104000</v>
      </c>
      <c r="K24" s="16"/>
      <c r="L24">
        <f t="shared" si="1"/>
        <v>1104000</v>
      </c>
    </row>
    <row r="25" spans="1:12" ht="15" customHeight="1">
      <c r="A25" s="17"/>
      <c r="B25" s="18" t="s">
        <v>29</v>
      </c>
      <c r="C25" s="18" t="s">
        <v>29</v>
      </c>
      <c r="D25" s="18" t="s">
        <v>29</v>
      </c>
      <c r="E25" s="18" t="s">
        <v>29</v>
      </c>
      <c r="F25" s="18" t="s">
        <v>29</v>
      </c>
      <c r="G25" s="19"/>
      <c r="H25" s="19"/>
      <c r="I25" s="15"/>
      <c r="J25" s="15" t="str">
        <f t="shared" si="0"/>
        <v/>
      </c>
      <c r="K25" s="16"/>
      <c r="L25">
        <f t="shared" si="1"/>
        <v>1104000</v>
      </c>
    </row>
    <row r="26" spans="1:12" ht="15" customHeight="1">
      <c r="A26" s="17"/>
      <c r="B26" s="18" t="s">
        <v>30</v>
      </c>
      <c r="C26" s="18" t="s">
        <v>30</v>
      </c>
      <c r="D26" s="18" t="s">
        <v>30</v>
      </c>
      <c r="E26" s="18" t="s">
        <v>30</v>
      </c>
      <c r="F26" s="18" t="s">
        <v>30</v>
      </c>
      <c r="G26" s="19">
        <v>375000</v>
      </c>
      <c r="H26" s="19"/>
      <c r="I26" s="15"/>
      <c r="J26" s="15">
        <f t="shared" si="0"/>
        <v>1479000</v>
      </c>
      <c r="K26" s="16"/>
      <c r="L26">
        <f t="shared" si="1"/>
        <v>1479000</v>
      </c>
    </row>
    <row r="27" spans="1:12" ht="15" customHeight="1">
      <c r="A27" s="17"/>
      <c r="B27" s="18" t="s">
        <v>31</v>
      </c>
      <c r="C27" s="18" t="s">
        <v>31</v>
      </c>
      <c r="D27" s="18" t="s">
        <v>31</v>
      </c>
      <c r="E27" s="18" t="s">
        <v>31</v>
      </c>
      <c r="F27" s="18" t="s">
        <v>31</v>
      </c>
      <c r="G27" s="19"/>
      <c r="H27" s="19"/>
      <c r="I27" s="15"/>
      <c r="J27" s="15" t="str">
        <f t="shared" si="0"/>
        <v/>
      </c>
      <c r="K27" s="16"/>
      <c r="L27">
        <f t="shared" si="1"/>
        <v>1479000</v>
      </c>
    </row>
    <row r="28" spans="1:12" ht="15" customHeight="1">
      <c r="A28" s="17"/>
      <c r="B28" s="18" t="s">
        <v>32</v>
      </c>
      <c r="C28" s="18" t="s">
        <v>32</v>
      </c>
      <c r="D28" s="18" t="s">
        <v>32</v>
      </c>
      <c r="E28" s="18" t="s">
        <v>32</v>
      </c>
      <c r="F28" s="18" t="s">
        <v>32</v>
      </c>
      <c r="G28" s="19">
        <v>227000</v>
      </c>
      <c r="H28" s="19"/>
      <c r="I28" s="15"/>
      <c r="J28" s="15">
        <f t="shared" si="0"/>
        <v>1706000</v>
      </c>
      <c r="K28" s="16"/>
      <c r="L28">
        <f t="shared" si="1"/>
        <v>1706000</v>
      </c>
    </row>
    <row r="29" spans="1:12" ht="15" customHeight="1">
      <c r="A29" s="17"/>
      <c r="B29" s="18" t="s">
        <v>17</v>
      </c>
      <c r="C29" s="18" t="s">
        <v>17</v>
      </c>
      <c r="D29" s="18" t="s">
        <v>17</v>
      </c>
      <c r="E29" s="18" t="s">
        <v>17</v>
      </c>
      <c r="F29" s="18" t="s">
        <v>17</v>
      </c>
      <c r="G29" s="19"/>
      <c r="H29" s="19"/>
      <c r="I29" s="15"/>
      <c r="J29" s="15" t="str">
        <f t="shared" si="0"/>
        <v/>
      </c>
      <c r="K29" s="16"/>
      <c r="L29">
        <f t="shared" si="1"/>
        <v>1706000</v>
      </c>
    </row>
    <row r="30" spans="1:12" ht="15" customHeight="1">
      <c r="A30" s="17"/>
      <c r="B30" s="18" t="s">
        <v>33</v>
      </c>
      <c r="C30" s="18" t="s">
        <v>33</v>
      </c>
      <c r="D30" s="18" t="s">
        <v>33</v>
      </c>
      <c r="E30" s="18" t="s">
        <v>33</v>
      </c>
      <c r="F30" s="18" t="s">
        <v>33</v>
      </c>
      <c r="G30" s="19">
        <v>396000</v>
      </c>
      <c r="H30" s="19"/>
      <c r="I30" s="15"/>
      <c r="J30" s="15">
        <f t="shared" si="0"/>
        <v>2102000</v>
      </c>
      <c r="K30" s="16"/>
      <c r="L30">
        <f t="shared" si="1"/>
        <v>2102000</v>
      </c>
    </row>
    <row r="31" spans="1:12" ht="15" customHeight="1">
      <c r="A31" s="17"/>
      <c r="B31" s="18" t="s">
        <v>34</v>
      </c>
      <c r="C31" s="18" t="s">
        <v>34</v>
      </c>
      <c r="D31" s="18" t="s">
        <v>34</v>
      </c>
      <c r="E31" s="18" t="s">
        <v>34</v>
      </c>
      <c r="F31" s="18" t="s">
        <v>34</v>
      </c>
      <c r="G31" s="19">
        <v>87000</v>
      </c>
      <c r="H31" s="19"/>
      <c r="I31" s="15"/>
      <c r="J31" s="15">
        <f t="shared" si="0"/>
        <v>2189000</v>
      </c>
      <c r="K31" s="16"/>
      <c r="L31">
        <f t="shared" si="1"/>
        <v>2189000</v>
      </c>
    </row>
    <row r="32" spans="1:12" ht="15" customHeight="1">
      <c r="A32" s="17"/>
      <c r="B32" s="18" t="s">
        <v>23</v>
      </c>
      <c r="C32" s="18" t="s">
        <v>23</v>
      </c>
      <c r="D32" s="18" t="s">
        <v>23</v>
      </c>
      <c r="E32" s="18" t="s">
        <v>23</v>
      </c>
      <c r="F32" s="18" t="s">
        <v>23</v>
      </c>
      <c r="G32" s="19"/>
      <c r="H32" s="19"/>
      <c r="I32" s="15"/>
      <c r="J32" s="15" t="str">
        <f t="shared" si="0"/>
        <v/>
      </c>
      <c r="K32" s="16"/>
      <c r="L32">
        <f t="shared" si="1"/>
        <v>2189000</v>
      </c>
    </row>
    <row r="33" spans="1:12" ht="15" customHeight="1">
      <c r="A33" s="17"/>
      <c r="B33" s="18" t="s">
        <v>35</v>
      </c>
      <c r="C33" s="18" t="s">
        <v>35</v>
      </c>
      <c r="D33" s="18" t="s">
        <v>35</v>
      </c>
      <c r="E33" s="18" t="s">
        <v>35</v>
      </c>
      <c r="F33" s="18" t="s">
        <v>35</v>
      </c>
      <c r="G33" s="19">
        <v>144000</v>
      </c>
      <c r="H33" s="19"/>
      <c r="I33" s="15"/>
      <c r="J33" s="15">
        <f t="shared" si="0"/>
        <v>2333000</v>
      </c>
      <c r="K33" s="16"/>
      <c r="L33">
        <f t="shared" si="1"/>
        <v>2333000</v>
      </c>
    </row>
    <row r="34" spans="1:12" ht="15" customHeight="1">
      <c r="A34" s="17"/>
      <c r="B34" s="18" t="s">
        <v>36</v>
      </c>
      <c r="C34" s="18" t="s">
        <v>36</v>
      </c>
      <c r="D34" s="18" t="s">
        <v>36</v>
      </c>
      <c r="E34" s="18" t="s">
        <v>36</v>
      </c>
      <c r="F34" s="18" t="s">
        <v>36</v>
      </c>
      <c r="G34" s="19">
        <v>173000</v>
      </c>
      <c r="H34" s="19"/>
      <c r="I34" s="15"/>
      <c r="J34" s="15">
        <f t="shared" si="0"/>
        <v>2506000</v>
      </c>
      <c r="K34" s="16"/>
      <c r="L34">
        <f t="shared" si="1"/>
        <v>2506000</v>
      </c>
    </row>
    <row r="35" spans="1:12" ht="15" customHeight="1">
      <c r="A35" s="17"/>
      <c r="B35" s="18" t="s">
        <v>37</v>
      </c>
      <c r="C35" s="18" t="s">
        <v>37</v>
      </c>
      <c r="D35" s="18" t="s">
        <v>37</v>
      </c>
      <c r="E35" s="18" t="s">
        <v>37</v>
      </c>
      <c r="F35" s="18" t="s">
        <v>37</v>
      </c>
      <c r="G35" s="19">
        <v>53000</v>
      </c>
      <c r="H35" s="19"/>
      <c r="I35" s="15"/>
      <c r="J35" s="15">
        <f t="shared" si="0"/>
        <v>2559000</v>
      </c>
      <c r="K35" s="16"/>
      <c r="L35">
        <f t="shared" si="1"/>
        <v>2559000</v>
      </c>
    </row>
    <row r="36" spans="1:12" ht="15" customHeight="1">
      <c r="A36" s="17"/>
      <c r="B36" s="18" t="s">
        <v>38</v>
      </c>
      <c r="C36" s="18" t="s">
        <v>38</v>
      </c>
      <c r="D36" s="18" t="s">
        <v>38</v>
      </c>
      <c r="E36" s="18" t="s">
        <v>38</v>
      </c>
      <c r="F36" s="18" t="s">
        <v>38</v>
      </c>
      <c r="G36" s="19">
        <v>130000</v>
      </c>
      <c r="H36" s="19"/>
      <c r="I36" s="15"/>
      <c r="J36" s="15">
        <f t="shared" si="0"/>
        <v>2689000</v>
      </c>
      <c r="K36" s="16"/>
      <c r="L36">
        <f t="shared" si="1"/>
        <v>2689000</v>
      </c>
    </row>
    <row r="37" spans="1:12" ht="15" customHeight="1">
      <c r="A37" s="17" t="s">
        <v>39</v>
      </c>
      <c r="B37" s="18" t="s">
        <v>40</v>
      </c>
      <c r="C37" s="18" t="s">
        <v>40</v>
      </c>
      <c r="D37" s="18" t="s">
        <v>40</v>
      </c>
      <c r="E37" s="18" t="s">
        <v>40</v>
      </c>
      <c r="F37" s="18" t="s">
        <v>40</v>
      </c>
      <c r="G37" s="19"/>
      <c r="H37" s="19"/>
      <c r="I37" s="15"/>
      <c r="J37" s="15" t="str">
        <f t="shared" si="0"/>
        <v/>
      </c>
      <c r="K37" s="16"/>
      <c r="L37">
        <f t="shared" si="1"/>
        <v>2689000</v>
      </c>
    </row>
    <row r="38" spans="1:12" ht="15" customHeight="1">
      <c r="A38" s="17"/>
      <c r="B38" s="18" t="s">
        <v>41</v>
      </c>
      <c r="C38" s="18" t="s">
        <v>41</v>
      </c>
      <c r="D38" s="18" t="s">
        <v>41</v>
      </c>
      <c r="E38" s="18" t="s">
        <v>41</v>
      </c>
      <c r="F38" s="18" t="s">
        <v>41</v>
      </c>
      <c r="G38" s="19">
        <v>78000</v>
      </c>
      <c r="H38" s="19"/>
      <c r="I38" s="15"/>
      <c r="J38" s="15">
        <f t="shared" si="0"/>
        <v>2767000</v>
      </c>
      <c r="K38" s="16"/>
      <c r="L38">
        <f t="shared" si="1"/>
        <v>2767000</v>
      </c>
    </row>
    <row r="39" spans="1:12" ht="15" customHeight="1">
      <c r="A39" s="17"/>
      <c r="B39" s="18" t="s">
        <v>14</v>
      </c>
      <c r="C39" s="18" t="s">
        <v>14</v>
      </c>
      <c r="D39" s="18" t="s">
        <v>14</v>
      </c>
      <c r="E39" s="18" t="s">
        <v>14</v>
      </c>
      <c r="F39" s="18" t="s">
        <v>14</v>
      </c>
      <c r="G39" s="19"/>
      <c r="H39" s="19"/>
      <c r="I39" s="15"/>
      <c r="J39" s="15" t="str">
        <f t="shared" si="0"/>
        <v/>
      </c>
      <c r="K39" s="16"/>
      <c r="L39">
        <f t="shared" si="1"/>
        <v>2767000</v>
      </c>
    </row>
    <row r="40" spans="1:12" ht="15" customHeight="1">
      <c r="A40" s="17"/>
      <c r="B40" s="18" t="s">
        <v>42</v>
      </c>
      <c r="C40" s="18" t="s">
        <v>42</v>
      </c>
      <c r="D40" s="18" t="s">
        <v>42</v>
      </c>
      <c r="E40" s="18" t="s">
        <v>42</v>
      </c>
      <c r="F40" s="18" t="s">
        <v>42</v>
      </c>
      <c r="G40" s="19">
        <v>80000</v>
      </c>
      <c r="H40" s="19"/>
      <c r="I40" s="15"/>
      <c r="J40" s="15">
        <f t="shared" si="0"/>
        <v>2847000</v>
      </c>
      <c r="K40" s="16"/>
      <c r="L40">
        <f t="shared" si="1"/>
        <v>2847000</v>
      </c>
    </row>
    <row r="41" spans="1:12" ht="15" customHeight="1">
      <c r="A41" s="21"/>
      <c r="B41" s="18" t="s">
        <v>43</v>
      </c>
      <c r="C41" s="18" t="s">
        <v>43</v>
      </c>
      <c r="D41" s="18" t="s">
        <v>43</v>
      </c>
      <c r="E41" s="18" t="s">
        <v>43</v>
      </c>
      <c r="F41" s="18" t="s">
        <v>43</v>
      </c>
      <c r="G41" s="19">
        <v>36000</v>
      </c>
      <c r="H41" s="19"/>
      <c r="I41" s="15"/>
      <c r="J41" s="15">
        <f t="shared" si="0"/>
        <v>2883000</v>
      </c>
      <c r="K41" s="16"/>
      <c r="L41">
        <f t="shared" si="1"/>
        <v>2883000</v>
      </c>
    </row>
    <row r="42" spans="1:12" ht="15" customHeight="1">
      <c r="A42" s="21"/>
      <c r="B42" s="18" t="s">
        <v>44</v>
      </c>
      <c r="C42" s="18" t="s">
        <v>44</v>
      </c>
      <c r="D42" s="18" t="s">
        <v>44</v>
      </c>
      <c r="E42" s="18" t="s">
        <v>44</v>
      </c>
      <c r="F42" s="18" t="s">
        <v>44</v>
      </c>
      <c r="G42" s="19"/>
      <c r="H42" s="19"/>
      <c r="I42" s="15"/>
      <c r="J42" s="15" t="str">
        <f t="shared" si="0"/>
        <v/>
      </c>
      <c r="K42" s="16"/>
      <c r="L42">
        <f t="shared" si="1"/>
        <v>2883000</v>
      </c>
    </row>
    <row r="43" spans="1:12" ht="15" customHeight="1">
      <c r="A43" s="21"/>
      <c r="B43" s="18" t="s">
        <v>45</v>
      </c>
      <c r="C43" s="18" t="s">
        <v>45</v>
      </c>
      <c r="D43" s="18" t="s">
        <v>45</v>
      </c>
      <c r="E43" s="18" t="s">
        <v>45</v>
      </c>
      <c r="F43" s="18" t="s">
        <v>45</v>
      </c>
      <c r="G43" s="19">
        <v>40000</v>
      </c>
      <c r="H43" s="19"/>
      <c r="I43" s="15"/>
      <c r="J43" s="15">
        <f t="shared" si="0"/>
        <v>2923000</v>
      </c>
      <c r="K43" s="16"/>
      <c r="L43">
        <f t="shared" si="1"/>
        <v>2923000</v>
      </c>
    </row>
    <row r="44" spans="1:12" ht="15" customHeight="1">
      <c r="A44" s="21"/>
      <c r="B44" s="18" t="s">
        <v>46</v>
      </c>
      <c r="C44" s="18" t="s">
        <v>46</v>
      </c>
      <c r="D44" s="18" t="s">
        <v>46</v>
      </c>
      <c r="E44" s="18" t="s">
        <v>46</v>
      </c>
      <c r="F44" s="18" t="s">
        <v>46</v>
      </c>
      <c r="G44" s="19"/>
      <c r="H44" s="19"/>
      <c r="I44" s="15"/>
      <c r="J44" s="15" t="str">
        <f t="shared" si="0"/>
        <v/>
      </c>
      <c r="K44" s="16"/>
      <c r="L44">
        <f t="shared" si="1"/>
        <v>2923000</v>
      </c>
    </row>
    <row r="45" spans="1:12" ht="15" customHeight="1">
      <c r="A45" s="21"/>
      <c r="B45" s="18" t="s">
        <v>47</v>
      </c>
      <c r="C45" s="18" t="s">
        <v>47</v>
      </c>
      <c r="D45" s="18" t="s">
        <v>47</v>
      </c>
      <c r="E45" s="18" t="s">
        <v>47</v>
      </c>
      <c r="F45" s="18" t="s">
        <v>47</v>
      </c>
      <c r="G45" s="19">
        <v>100000</v>
      </c>
      <c r="H45" s="19"/>
      <c r="I45" s="15"/>
      <c r="J45" s="15">
        <f t="shared" si="0"/>
        <v>3023000</v>
      </c>
      <c r="K45" s="16"/>
      <c r="L45">
        <f t="shared" si="1"/>
        <v>3023000</v>
      </c>
    </row>
    <row r="46" spans="1:12" ht="15" customHeight="1">
      <c r="A46" s="21"/>
      <c r="B46" s="18" t="s">
        <v>21</v>
      </c>
      <c r="C46" s="18" t="s">
        <v>21</v>
      </c>
      <c r="D46" s="18" t="s">
        <v>21</v>
      </c>
      <c r="E46" s="18" t="s">
        <v>21</v>
      </c>
      <c r="F46" s="18" t="s">
        <v>21</v>
      </c>
      <c r="G46" s="19"/>
      <c r="H46" s="19"/>
      <c r="I46" s="15"/>
      <c r="J46" s="15" t="str">
        <f t="shared" si="0"/>
        <v/>
      </c>
      <c r="K46" s="16"/>
      <c r="L46">
        <f t="shared" si="1"/>
        <v>3023000</v>
      </c>
    </row>
    <row r="47" spans="1:12" ht="15" customHeight="1">
      <c r="A47" s="21"/>
      <c r="B47" s="18" t="s">
        <v>48</v>
      </c>
      <c r="C47" s="18" t="s">
        <v>48</v>
      </c>
      <c r="D47" s="18" t="s">
        <v>48</v>
      </c>
      <c r="E47" s="18" t="s">
        <v>48</v>
      </c>
      <c r="F47" s="18" t="s">
        <v>48</v>
      </c>
      <c r="G47" s="19">
        <v>45000</v>
      </c>
      <c r="H47" s="19"/>
      <c r="I47" s="15"/>
      <c r="J47" s="15">
        <f t="shared" si="0"/>
        <v>3068000</v>
      </c>
      <c r="K47" s="16"/>
      <c r="L47">
        <f t="shared" si="1"/>
        <v>3068000</v>
      </c>
    </row>
    <row r="48" spans="1:12" ht="15" customHeight="1">
      <c r="A48" s="21"/>
      <c r="B48" s="18" t="s">
        <v>49</v>
      </c>
      <c r="C48" s="18" t="s">
        <v>49</v>
      </c>
      <c r="D48" s="18" t="s">
        <v>49</v>
      </c>
      <c r="E48" s="18" t="s">
        <v>49</v>
      </c>
      <c r="F48" s="18" t="s">
        <v>49</v>
      </c>
      <c r="G48" s="19"/>
      <c r="H48" s="19"/>
      <c r="I48" s="15"/>
      <c r="J48" s="15" t="str">
        <f t="shared" si="0"/>
        <v/>
      </c>
      <c r="K48" s="16"/>
      <c r="L48">
        <f t="shared" si="1"/>
        <v>3068000</v>
      </c>
    </row>
    <row r="49" spans="1:12" ht="15" customHeight="1">
      <c r="A49" s="21"/>
      <c r="B49" s="18" t="s">
        <v>50</v>
      </c>
      <c r="C49" s="18" t="s">
        <v>50</v>
      </c>
      <c r="D49" s="18" t="s">
        <v>50</v>
      </c>
      <c r="E49" s="18" t="s">
        <v>50</v>
      </c>
      <c r="F49" s="18" t="s">
        <v>50</v>
      </c>
      <c r="G49" s="19">
        <v>450000</v>
      </c>
      <c r="H49" s="19"/>
      <c r="I49" s="15"/>
      <c r="J49" s="15">
        <f t="shared" si="0"/>
        <v>3518000</v>
      </c>
      <c r="K49" s="16"/>
      <c r="L49">
        <f t="shared" si="1"/>
        <v>3518000</v>
      </c>
    </row>
    <row r="50" spans="1:12" ht="15" customHeight="1">
      <c r="A50" s="21"/>
      <c r="B50" s="18" t="s">
        <v>17</v>
      </c>
      <c r="C50" s="18" t="s">
        <v>17</v>
      </c>
      <c r="D50" s="18" t="s">
        <v>17</v>
      </c>
      <c r="E50" s="18" t="s">
        <v>17</v>
      </c>
      <c r="F50" s="18" t="s">
        <v>17</v>
      </c>
      <c r="G50" s="19"/>
      <c r="H50" s="19"/>
      <c r="I50" s="15"/>
      <c r="J50" s="15" t="str">
        <f t="shared" si="0"/>
        <v/>
      </c>
      <c r="K50" s="16"/>
      <c r="L50">
        <f t="shared" si="1"/>
        <v>3518000</v>
      </c>
    </row>
    <row r="51" spans="1:12" ht="15" customHeight="1">
      <c r="A51" s="21"/>
      <c r="B51" s="18" t="s">
        <v>51</v>
      </c>
      <c r="C51" s="18" t="s">
        <v>51</v>
      </c>
      <c r="D51" s="18" t="s">
        <v>51</v>
      </c>
      <c r="E51" s="18" t="s">
        <v>51</v>
      </c>
      <c r="F51" s="18" t="s">
        <v>51</v>
      </c>
      <c r="G51" s="19">
        <v>692000</v>
      </c>
      <c r="H51" s="19"/>
      <c r="I51" s="15"/>
      <c r="J51" s="15">
        <f t="shared" si="0"/>
        <v>4210000</v>
      </c>
      <c r="K51" s="16"/>
      <c r="L51">
        <f t="shared" si="1"/>
        <v>4210000</v>
      </c>
    </row>
    <row r="52" spans="1:12" ht="15" customHeight="1">
      <c r="A52" s="21"/>
      <c r="B52" s="18" t="s">
        <v>52</v>
      </c>
      <c r="C52" s="18" t="s">
        <v>52</v>
      </c>
      <c r="D52" s="18" t="s">
        <v>52</v>
      </c>
      <c r="E52" s="18" t="s">
        <v>52</v>
      </c>
      <c r="F52" s="18" t="s">
        <v>52</v>
      </c>
      <c r="G52" s="19">
        <v>195000</v>
      </c>
      <c r="H52" s="19"/>
      <c r="I52" s="15"/>
      <c r="J52" s="15">
        <f t="shared" si="0"/>
        <v>4405000</v>
      </c>
      <c r="K52" s="16"/>
      <c r="L52">
        <f t="shared" si="1"/>
        <v>4405000</v>
      </c>
    </row>
    <row r="53" spans="1:12" ht="15" customHeight="1">
      <c r="A53" s="21"/>
      <c r="B53" s="18" t="s">
        <v>53</v>
      </c>
      <c r="C53" s="18" t="s">
        <v>53</v>
      </c>
      <c r="D53" s="18" t="s">
        <v>53</v>
      </c>
      <c r="E53" s="18" t="s">
        <v>53</v>
      </c>
      <c r="F53" s="18" t="s">
        <v>53</v>
      </c>
      <c r="G53" s="19">
        <v>87000</v>
      </c>
      <c r="H53" s="19"/>
      <c r="I53" s="15"/>
      <c r="J53" s="15">
        <f t="shared" si="0"/>
        <v>4492000</v>
      </c>
      <c r="K53" s="16"/>
      <c r="L53">
        <f t="shared" si="1"/>
        <v>4492000</v>
      </c>
    </row>
    <row r="54" spans="1:12" ht="15" customHeight="1">
      <c r="A54" s="21"/>
      <c r="B54" s="18" t="s">
        <v>54</v>
      </c>
      <c r="C54" s="18" t="s">
        <v>54</v>
      </c>
      <c r="D54" s="18" t="s">
        <v>54</v>
      </c>
      <c r="E54" s="18" t="s">
        <v>54</v>
      </c>
      <c r="F54" s="18" t="s">
        <v>54</v>
      </c>
      <c r="G54" s="19">
        <v>442000</v>
      </c>
      <c r="H54" s="19"/>
      <c r="I54" s="15"/>
      <c r="J54" s="15">
        <f t="shared" si="0"/>
        <v>4934000</v>
      </c>
      <c r="K54" s="16"/>
      <c r="L54">
        <f t="shared" si="1"/>
        <v>4934000</v>
      </c>
    </row>
    <row r="55" spans="1:12" ht="15" customHeight="1">
      <c r="A55" s="21"/>
      <c r="B55" s="18" t="s">
        <v>55</v>
      </c>
      <c r="C55" s="18" t="s">
        <v>55</v>
      </c>
      <c r="D55" s="18" t="s">
        <v>55</v>
      </c>
      <c r="E55" s="18" t="s">
        <v>55</v>
      </c>
      <c r="F55" s="18" t="s">
        <v>55</v>
      </c>
      <c r="G55" s="19">
        <v>72000</v>
      </c>
      <c r="H55" s="19"/>
      <c r="I55" s="15"/>
      <c r="J55" s="15">
        <f t="shared" si="0"/>
        <v>5006000</v>
      </c>
      <c r="K55" s="16"/>
      <c r="L55">
        <f t="shared" si="1"/>
        <v>5006000</v>
      </c>
    </row>
    <row r="56" spans="1:12" ht="15" customHeight="1">
      <c r="A56" s="21"/>
      <c r="B56" s="18" t="s">
        <v>23</v>
      </c>
      <c r="C56" s="18" t="s">
        <v>23</v>
      </c>
      <c r="D56" s="18" t="s">
        <v>23</v>
      </c>
      <c r="E56" s="18" t="s">
        <v>23</v>
      </c>
      <c r="F56" s="18" t="s">
        <v>23</v>
      </c>
      <c r="G56" s="19"/>
      <c r="H56" s="19"/>
      <c r="I56" s="15"/>
      <c r="J56" s="15" t="str">
        <f t="shared" si="0"/>
        <v/>
      </c>
      <c r="K56" s="16"/>
      <c r="L56">
        <f t="shared" si="1"/>
        <v>5006000</v>
      </c>
    </row>
    <row r="57" spans="1:12" ht="15" customHeight="1">
      <c r="A57" s="21"/>
      <c r="B57" s="18" t="s">
        <v>56</v>
      </c>
      <c r="C57" s="18" t="s">
        <v>56</v>
      </c>
      <c r="D57" s="18" t="s">
        <v>56</v>
      </c>
      <c r="E57" s="18" t="s">
        <v>56</v>
      </c>
      <c r="F57" s="18" t="s">
        <v>56</v>
      </c>
      <c r="G57" s="19">
        <v>121000</v>
      </c>
      <c r="H57" s="19"/>
      <c r="I57" s="15"/>
      <c r="J57" s="15">
        <f t="shared" si="0"/>
        <v>5127000</v>
      </c>
      <c r="K57" s="16"/>
      <c r="L57">
        <f t="shared" si="1"/>
        <v>5127000</v>
      </c>
    </row>
    <row r="58" spans="1:12" ht="15" customHeight="1">
      <c r="A58" s="17" t="s">
        <v>57</v>
      </c>
      <c r="B58" s="18" t="s">
        <v>58</v>
      </c>
      <c r="C58" s="18" t="s">
        <v>58</v>
      </c>
      <c r="D58" s="18" t="s">
        <v>58</v>
      </c>
      <c r="E58" s="18" t="s">
        <v>58</v>
      </c>
      <c r="F58" s="18" t="s">
        <v>58</v>
      </c>
      <c r="G58" s="19"/>
      <c r="H58" s="19"/>
      <c r="I58" s="15"/>
      <c r="J58" s="15" t="str">
        <f t="shared" si="0"/>
        <v/>
      </c>
      <c r="K58" s="16"/>
      <c r="L58">
        <f t="shared" si="1"/>
        <v>5127000</v>
      </c>
    </row>
    <row r="59" spans="1:12" ht="15" customHeight="1">
      <c r="A59" s="21"/>
      <c r="B59" s="18" t="s">
        <v>59</v>
      </c>
      <c r="C59" s="18" t="s">
        <v>59</v>
      </c>
      <c r="D59" s="18" t="s">
        <v>59</v>
      </c>
      <c r="E59" s="18" t="s">
        <v>59</v>
      </c>
      <c r="F59" s="18" t="s">
        <v>59</v>
      </c>
      <c r="G59" s="19">
        <v>532000</v>
      </c>
      <c r="H59" s="19"/>
      <c r="I59" s="15"/>
      <c r="J59" s="15">
        <f t="shared" si="0"/>
        <v>5659000</v>
      </c>
      <c r="K59" s="16"/>
      <c r="L59">
        <f t="shared" si="1"/>
        <v>5659000</v>
      </c>
    </row>
    <row r="60" spans="1:12" ht="15" customHeight="1">
      <c r="A60" s="21"/>
      <c r="B60" s="18" t="s">
        <v>60</v>
      </c>
      <c r="C60" s="18" t="s">
        <v>60</v>
      </c>
      <c r="D60" s="18" t="s">
        <v>60</v>
      </c>
      <c r="E60" s="18" t="s">
        <v>60</v>
      </c>
      <c r="F60" s="18" t="s">
        <v>60</v>
      </c>
      <c r="G60" s="19"/>
      <c r="H60" s="19"/>
      <c r="I60" s="15"/>
      <c r="J60" s="15" t="str">
        <f t="shared" si="0"/>
        <v/>
      </c>
      <c r="K60" s="16"/>
      <c r="L60">
        <f t="shared" si="1"/>
        <v>5659000</v>
      </c>
    </row>
    <row r="61" spans="1:12" ht="15" customHeight="1">
      <c r="A61" s="21"/>
      <c r="B61" s="18" t="s">
        <v>61</v>
      </c>
      <c r="C61" s="18" t="s">
        <v>61</v>
      </c>
      <c r="D61" s="18" t="s">
        <v>61</v>
      </c>
      <c r="E61" s="18" t="s">
        <v>61</v>
      </c>
      <c r="F61" s="18" t="s">
        <v>61</v>
      </c>
      <c r="G61" s="19">
        <v>70000</v>
      </c>
      <c r="H61" s="19"/>
      <c r="I61" s="15"/>
      <c r="J61" s="15">
        <f t="shared" si="0"/>
        <v>5729000</v>
      </c>
      <c r="K61" s="16"/>
      <c r="L61">
        <f t="shared" si="1"/>
        <v>5729000</v>
      </c>
    </row>
    <row r="62" spans="1:12" ht="15" customHeight="1">
      <c r="A62" s="21"/>
      <c r="B62" s="18" t="s">
        <v>62</v>
      </c>
      <c r="C62" s="18" t="s">
        <v>62</v>
      </c>
      <c r="D62" s="18" t="s">
        <v>62</v>
      </c>
      <c r="E62" s="18" t="s">
        <v>62</v>
      </c>
      <c r="F62" s="18" t="s">
        <v>62</v>
      </c>
      <c r="G62" s="19">
        <v>40000</v>
      </c>
      <c r="H62" s="19"/>
      <c r="I62" s="15"/>
      <c r="J62" s="15">
        <f t="shared" si="0"/>
        <v>5769000</v>
      </c>
      <c r="K62" s="16"/>
      <c r="L62">
        <f t="shared" si="1"/>
        <v>5769000</v>
      </c>
    </row>
    <row r="63" spans="1:12" ht="15" customHeight="1">
      <c r="A63" s="21"/>
      <c r="B63" s="18" t="s">
        <v>17</v>
      </c>
      <c r="C63" s="18" t="s">
        <v>17</v>
      </c>
      <c r="D63" s="18" t="s">
        <v>17</v>
      </c>
      <c r="E63" s="18" t="s">
        <v>17</v>
      </c>
      <c r="F63" s="18" t="s">
        <v>17</v>
      </c>
      <c r="G63" s="19"/>
      <c r="H63" s="19"/>
      <c r="I63" s="15"/>
      <c r="J63" s="15" t="str">
        <f t="shared" si="0"/>
        <v/>
      </c>
      <c r="K63" s="16"/>
      <c r="L63">
        <f t="shared" si="1"/>
        <v>5769000</v>
      </c>
    </row>
    <row r="64" spans="1:12" ht="15" customHeight="1">
      <c r="A64" s="21"/>
      <c r="B64" s="18" t="s">
        <v>63</v>
      </c>
      <c r="C64" s="18" t="s">
        <v>63</v>
      </c>
      <c r="D64" s="18" t="s">
        <v>63</v>
      </c>
      <c r="E64" s="18" t="s">
        <v>63</v>
      </c>
      <c r="F64" s="18" t="s">
        <v>63</v>
      </c>
      <c r="G64" s="19">
        <v>182000</v>
      </c>
      <c r="H64" s="19"/>
      <c r="I64" s="15"/>
      <c r="J64" s="15">
        <f t="shared" si="0"/>
        <v>5951000</v>
      </c>
      <c r="K64" s="16"/>
      <c r="L64">
        <f t="shared" si="1"/>
        <v>5951000</v>
      </c>
    </row>
    <row r="65" spans="1:12" ht="15" customHeight="1">
      <c r="A65" s="21"/>
      <c r="B65" s="18" t="s">
        <v>64</v>
      </c>
      <c r="C65" s="18" t="s">
        <v>64</v>
      </c>
      <c r="D65" s="18" t="s">
        <v>64</v>
      </c>
      <c r="E65" s="18" t="s">
        <v>64</v>
      </c>
      <c r="F65" s="18" t="s">
        <v>64</v>
      </c>
      <c r="G65" s="19">
        <v>373000</v>
      </c>
      <c r="H65" s="19"/>
      <c r="I65" s="15"/>
      <c r="J65" s="15">
        <f t="shared" si="0"/>
        <v>6324000</v>
      </c>
      <c r="K65" s="16"/>
      <c r="L65">
        <f t="shared" si="1"/>
        <v>6324000</v>
      </c>
    </row>
    <row r="66" spans="1:12" ht="15" customHeight="1">
      <c r="A66" s="21"/>
      <c r="B66" s="18" t="s">
        <v>65</v>
      </c>
      <c r="C66" s="18" t="s">
        <v>65</v>
      </c>
      <c r="D66" s="18" t="s">
        <v>65</v>
      </c>
      <c r="E66" s="18" t="s">
        <v>65</v>
      </c>
      <c r="F66" s="18" t="s">
        <v>65</v>
      </c>
      <c r="G66" s="19">
        <v>240000</v>
      </c>
      <c r="H66" s="19"/>
      <c r="I66" s="15"/>
      <c r="J66" s="15">
        <f t="shared" si="0"/>
        <v>6564000</v>
      </c>
      <c r="K66" s="16"/>
      <c r="L66">
        <f t="shared" si="1"/>
        <v>6564000</v>
      </c>
    </row>
    <row r="67" spans="1:12" ht="15" customHeight="1">
      <c r="A67" s="21"/>
      <c r="B67" s="18" t="s">
        <v>14</v>
      </c>
      <c r="C67" s="18" t="s">
        <v>14</v>
      </c>
      <c r="D67" s="18" t="s">
        <v>14</v>
      </c>
      <c r="E67" s="18" t="s">
        <v>14</v>
      </c>
      <c r="F67" s="18" t="s">
        <v>14</v>
      </c>
      <c r="G67" s="19"/>
      <c r="H67" s="19"/>
      <c r="I67" s="15"/>
      <c r="J67" s="15" t="str">
        <f t="shared" si="0"/>
        <v/>
      </c>
      <c r="K67" s="16"/>
      <c r="L67">
        <f t="shared" si="1"/>
        <v>6564000</v>
      </c>
    </row>
    <row r="68" spans="1:12" ht="15" customHeight="1">
      <c r="A68" s="21"/>
      <c r="B68" s="18" t="s">
        <v>66</v>
      </c>
      <c r="C68" s="18" t="s">
        <v>66</v>
      </c>
      <c r="D68" s="18" t="s">
        <v>66</v>
      </c>
      <c r="E68" s="18" t="s">
        <v>66</v>
      </c>
      <c r="F68" s="18" t="s">
        <v>66</v>
      </c>
      <c r="G68" s="19">
        <v>154000</v>
      </c>
      <c r="H68" s="19"/>
      <c r="I68" s="15"/>
      <c r="J68" s="15">
        <f t="shared" si="0"/>
        <v>6718000</v>
      </c>
      <c r="K68" s="16"/>
      <c r="L68">
        <f t="shared" si="1"/>
        <v>6718000</v>
      </c>
    </row>
    <row r="69" spans="1:12" ht="15" customHeight="1">
      <c r="A69" s="21"/>
      <c r="B69" s="18" t="s">
        <v>67</v>
      </c>
      <c r="C69" s="18" t="s">
        <v>67</v>
      </c>
      <c r="D69" s="18" t="s">
        <v>67</v>
      </c>
      <c r="E69" s="18" t="s">
        <v>67</v>
      </c>
      <c r="F69" s="18" t="s">
        <v>67</v>
      </c>
      <c r="G69" s="19">
        <v>180000</v>
      </c>
      <c r="H69" s="19"/>
      <c r="I69" s="15"/>
      <c r="J69" s="15">
        <f t="shared" si="0"/>
        <v>6898000</v>
      </c>
      <c r="K69" s="16"/>
      <c r="L69">
        <f t="shared" ref="L69:L132" si="2">IF(J69="",L68,J69)</f>
        <v>6898000</v>
      </c>
    </row>
    <row r="70" spans="1:12" ht="15" customHeight="1">
      <c r="A70" s="21"/>
      <c r="B70" s="18" t="s">
        <v>68</v>
      </c>
      <c r="C70" s="18" t="s">
        <v>68</v>
      </c>
      <c r="D70" s="18" t="s">
        <v>68</v>
      </c>
      <c r="E70" s="18" t="s">
        <v>68</v>
      </c>
      <c r="F70" s="18" t="s">
        <v>68</v>
      </c>
      <c r="G70" s="19">
        <v>144000</v>
      </c>
      <c r="H70" s="19"/>
      <c r="I70" s="15"/>
      <c r="J70" s="15">
        <f t="shared" si="0"/>
        <v>7042000</v>
      </c>
      <c r="K70" s="16"/>
      <c r="L70">
        <f t="shared" si="2"/>
        <v>7042000</v>
      </c>
    </row>
    <row r="71" spans="1:12" ht="15" customHeight="1">
      <c r="A71" s="21"/>
      <c r="B71" s="18" t="s">
        <v>69</v>
      </c>
      <c r="C71" s="18" t="s">
        <v>69</v>
      </c>
      <c r="D71" s="18" t="s">
        <v>69</v>
      </c>
      <c r="E71" s="18" t="s">
        <v>69</v>
      </c>
      <c r="F71" s="18" t="s">
        <v>69</v>
      </c>
      <c r="G71" s="19">
        <v>63000</v>
      </c>
      <c r="H71" s="19"/>
      <c r="I71" s="15"/>
      <c r="J71" s="15">
        <f t="shared" si="0"/>
        <v>7105000</v>
      </c>
      <c r="K71" s="16"/>
      <c r="L71">
        <f t="shared" si="2"/>
        <v>7105000</v>
      </c>
    </row>
    <row r="72" spans="1:12" ht="15" customHeight="1">
      <c r="A72" s="21"/>
      <c r="B72" s="18" t="s">
        <v>70</v>
      </c>
      <c r="C72" s="18" t="s">
        <v>70</v>
      </c>
      <c r="D72" s="18" t="s">
        <v>70</v>
      </c>
      <c r="E72" s="18" t="s">
        <v>70</v>
      </c>
      <c r="F72" s="18" t="s">
        <v>70</v>
      </c>
      <c r="G72" s="19">
        <v>53000</v>
      </c>
      <c r="H72" s="19"/>
      <c r="I72" s="15"/>
      <c r="J72" s="15">
        <f t="shared" si="0"/>
        <v>7158000</v>
      </c>
      <c r="K72" s="16"/>
      <c r="L72">
        <f t="shared" si="2"/>
        <v>7158000</v>
      </c>
    </row>
    <row r="73" spans="1:12" ht="15" customHeight="1">
      <c r="A73" s="21"/>
      <c r="B73" s="18" t="s">
        <v>71</v>
      </c>
      <c r="C73" s="18" t="s">
        <v>71</v>
      </c>
      <c r="D73" s="18" t="s">
        <v>71</v>
      </c>
      <c r="E73" s="18" t="s">
        <v>71</v>
      </c>
      <c r="F73" s="18" t="s">
        <v>71</v>
      </c>
      <c r="G73" s="19">
        <v>140000</v>
      </c>
      <c r="H73" s="19"/>
      <c r="I73" s="15"/>
      <c r="J73" s="15">
        <f t="shared" si="0"/>
        <v>7298000</v>
      </c>
      <c r="K73" s="16"/>
      <c r="L73">
        <f t="shared" si="2"/>
        <v>7298000</v>
      </c>
    </row>
    <row r="74" spans="1:12" ht="15" customHeight="1">
      <c r="A74" s="21"/>
      <c r="B74" s="18" t="s">
        <v>72</v>
      </c>
      <c r="C74" s="18" t="s">
        <v>72</v>
      </c>
      <c r="D74" s="18" t="s">
        <v>72</v>
      </c>
      <c r="E74" s="18" t="s">
        <v>72</v>
      </c>
      <c r="F74" s="18" t="s">
        <v>72</v>
      </c>
      <c r="G74" s="19">
        <v>106000</v>
      </c>
      <c r="H74" s="19"/>
      <c r="I74" s="15"/>
      <c r="J74" s="15">
        <f t="shared" si="0"/>
        <v>7404000</v>
      </c>
      <c r="K74" s="16"/>
      <c r="L74">
        <f t="shared" si="2"/>
        <v>7404000</v>
      </c>
    </row>
    <row r="75" spans="1:12" ht="15" customHeight="1">
      <c r="A75" s="21"/>
      <c r="B75" s="18" t="s">
        <v>73</v>
      </c>
      <c r="C75" s="18" t="s">
        <v>73</v>
      </c>
      <c r="D75" s="18" t="s">
        <v>73</v>
      </c>
      <c r="E75" s="18" t="s">
        <v>73</v>
      </c>
      <c r="F75" s="18" t="s">
        <v>73</v>
      </c>
      <c r="G75" s="19"/>
      <c r="H75" s="19"/>
      <c r="I75" s="15"/>
      <c r="J75" s="15" t="str">
        <f t="shared" si="0"/>
        <v/>
      </c>
      <c r="K75" s="16"/>
      <c r="L75">
        <f t="shared" si="2"/>
        <v>7404000</v>
      </c>
    </row>
    <row r="76" spans="1:12" ht="15" customHeight="1">
      <c r="A76" s="21"/>
      <c r="B76" s="18" t="s">
        <v>74</v>
      </c>
      <c r="C76" s="18" t="s">
        <v>74</v>
      </c>
      <c r="D76" s="18" t="s">
        <v>74</v>
      </c>
      <c r="E76" s="18" t="s">
        <v>74</v>
      </c>
      <c r="F76" s="18" t="s">
        <v>74</v>
      </c>
      <c r="G76" s="19">
        <v>160000</v>
      </c>
      <c r="H76" s="19"/>
      <c r="I76" s="15"/>
      <c r="J76" s="15">
        <f t="shared" si="0"/>
        <v>7564000</v>
      </c>
      <c r="K76" s="16"/>
      <c r="L76">
        <f t="shared" si="2"/>
        <v>7564000</v>
      </c>
    </row>
    <row r="77" spans="1:12" ht="15" customHeight="1">
      <c r="A77" s="21"/>
      <c r="B77" s="18" t="s">
        <v>23</v>
      </c>
      <c r="C77" s="18" t="s">
        <v>23</v>
      </c>
      <c r="D77" s="18" t="s">
        <v>23</v>
      </c>
      <c r="E77" s="18" t="s">
        <v>23</v>
      </c>
      <c r="F77" s="18" t="s">
        <v>23</v>
      </c>
      <c r="G77" s="19"/>
      <c r="H77" s="19"/>
      <c r="I77" s="15"/>
      <c r="J77" s="15" t="str">
        <f t="shared" si="0"/>
        <v/>
      </c>
      <c r="K77" s="16"/>
      <c r="L77">
        <f t="shared" si="2"/>
        <v>7564000</v>
      </c>
    </row>
    <row r="78" spans="1:12" ht="15" customHeight="1">
      <c r="A78" s="21"/>
      <c r="B78" s="18" t="s">
        <v>75</v>
      </c>
      <c r="C78" s="18" t="s">
        <v>75</v>
      </c>
      <c r="D78" s="18" t="s">
        <v>75</v>
      </c>
      <c r="E78" s="18" t="s">
        <v>75</v>
      </c>
      <c r="F78" s="18" t="s">
        <v>75</v>
      </c>
      <c r="G78" s="19">
        <v>102000</v>
      </c>
      <c r="H78" s="19"/>
      <c r="I78" s="15"/>
      <c r="J78" s="15">
        <f t="shared" si="0"/>
        <v>7666000</v>
      </c>
      <c r="K78" s="16"/>
      <c r="L78">
        <f t="shared" si="2"/>
        <v>7666000</v>
      </c>
    </row>
    <row r="79" spans="1:12" ht="15" customHeight="1">
      <c r="A79" s="21"/>
      <c r="B79" s="18" t="s">
        <v>76</v>
      </c>
      <c r="C79" s="18" t="s">
        <v>76</v>
      </c>
      <c r="D79" s="18" t="s">
        <v>76</v>
      </c>
      <c r="E79" s="18" t="s">
        <v>76</v>
      </c>
      <c r="F79" s="18" t="s">
        <v>76</v>
      </c>
      <c r="G79" s="19">
        <v>80000</v>
      </c>
      <c r="H79" s="19"/>
      <c r="I79" s="15"/>
      <c r="J79" s="15">
        <f t="shared" si="0"/>
        <v>7746000</v>
      </c>
      <c r="K79" s="16"/>
      <c r="L79">
        <f t="shared" si="2"/>
        <v>7746000</v>
      </c>
    </row>
    <row r="80" spans="1:12" ht="15" customHeight="1">
      <c r="A80" s="21"/>
      <c r="B80" s="18" t="s">
        <v>77</v>
      </c>
      <c r="C80" s="18" t="s">
        <v>77</v>
      </c>
      <c r="D80" s="18" t="s">
        <v>77</v>
      </c>
      <c r="E80" s="18" t="s">
        <v>77</v>
      </c>
      <c r="F80" s="18" t="s">
        <v>77</v>
      </c>
      <c r="G80" s="19"/>
      <c r="H80" s="19"/>
      <c r="I80" s="15"/>
      <c r="J80" s="15" t="str">
        <f t="shared" si="0"/>
        <v/>
      </c>
      <c r="K80" s="16"/>
      <c r="L80">
        <f t="shared" si="2"/>
        <v>7746000</v>
      </c>
    </row>
    <row r="81" spans="1:12" ht="15" customHeight="1">
      <c r="A81" s="21"/>
      <c r="B81" s="18" t="s">
        <v>78</v>
      </c>
      <c r="C81" s="18" t="s">
        <v>79</v>
      </c>
      <c r="D81" s="18" t="s">
        <v>79</v>
      </c>
      <c r="E81" s="18" t="s">
        <v>79</v>
      </c>
      <c r="F81" s="18" t="s">
        <v>79</v>
      </c>
      <c r="G81" s="19">
        <v>1976000</v>
      </c>
      <c r="H81" s="19"/>
      <c r="I81" s="15"/>
      <c r="J81" s="15">
        <f t="shared" si="0"/>
        <v>9722000</v>
      </c>
      <c r="K81" s="16"/>
      <c r="L81">
        <f t="shared" si="2"/>
        <v>9722000</v>
      </c>
    </row>
    <row r="82" spans="1:12" ht="15" customHeight="1">
      <c r="A82" s="21"/>
      <c r="B82" s="18" t="s">
        <v>80</v>
      </c>
      <c r="C82" s="18" t="s">
        <v>81</v>
      </c>
      <c r="D82" s="18" t="s">
        <v>81</v>
      </c>
      <c r="E82" s="18" t="s">
        <v>81</v>
      </c>
      <c r="F82" s="18" t="s">
        <v>81</v>
      </c>
      <c r="G82" s="19">
        <v>1639000</v>
      </c>
      <c r="H82" s="19"/>
      <c r="I82" s="15"/>
      <c r="J82" s="15">
        <f t="shared" si="0"/>
        <v>11361000</v>
      </c>
      <c r="K82" s="16"/>
      <c r="L82">
        <f t="shared" si="2"/>
        <v>11361000</v>
      </c>
    </row>
    <row r="83" spans="1:12" ht="15" customHeight="1">
      <c r="A83" s="21"/>
      <c r="B83" s="18" t="s">
        <v>23</v>
      </c>
      <c r="C83" s="18" t="s">
        <v>23</v>
      </c>
      <c r="D83" s="18" t="s">
        <v>23</v>
      </c>
      <c r="E83" s="18" t="s">
        <v>23</v>
      </c>
      <c r="F83" s="18" t="s">
        <v>23</v>
      </c>
      <c r="G83" s="19"/>
      <c r="H83" s="19"/>
      <c r="I83" s="15"/>
      <c r="J83" s="15" t="str">
        <f t="shared" si="0"/>
        <v/>
      </c>
      <c r="K83" s="16"/>
      <c r="L83">
        <f t="shared" si="2"/>
        <v>11361000</v>
      </c>
    </row>
    <row r="84" spans="1:12" ht="15" customHeight="1">
      <c r="A84" s="21"/>
      <c r="B84" s="18" t="s">
        <v>82</v>
      </c>
      <c r="C84" s="18" t="s">
        <v>82</v>
      </c>
      <c r="D84" s="18" t="s">
        <v>82</v>
      </c>
      <c r="E84" s="18" t="s">
        <v>82</v>
      </c>
      <c r="F84" s="18" t="s">
        <v>82</v>
      </c>
      <c r="G84" s="19">
        <v>53000</v>
      </c>
      <c r="H84" s="19"/>
      <c r="I84" s="15"/>
      <c r="J84" s="15">
        <f t="shared" si="0"/>
        <v>11414000</v>
      </c>
      <c r="K84" s="16"/>
      <c r="L84">
        <f t="shared" si="2"/>
        <v>11414000</v>
      </c>
    </row>
    <row r="85" spans="1:12" ht="15" customHeight="1">
      <c r="A85" s="21"/>
      <c r="B85" s="18" t="s">
        <v>83</v>
      </c>
      <c r="C85" s="18" t="s">
        <v>83</v>
      </c>
      <c r="D85" s="18" t="s">
        <v>83</v>
      </c>
      <c r="E85" s="18" t="s">
        <v>83</v>
      </c>
      <c r="F85" s="18" t="s">
        <v>83</v>
      </c>
      <c r="G85" s="19">
        <v>57000</v>
      </c>
      <c r="H85" s="19"/>
      <c r="I85" s="15"/>
      <c r="J85" s="15">
        <f t="shared" si="0"/>
        <v>11471000</v>
      </c>
      <c r="K85" s="16"/>
      <c r="L85">
        <f t="shared" si="2"/>
        <v>11471000</v>
      </c>
    </row>
    <row r="86" spans="1:12" ht="15" customHeight="1">
      <c r="A86" s="21"/>
      <c r="B86" s="18" t="s">
        <v>84</v>
      </c>
      <c r="C86" s="18" t="s">
        <v>84</v>
      </c>
      <c r="D86" s="18" t="s">
        <v>84</v>
      </c>
      <c r="E86" s="18" t="s">
        <v>84</v>
      </c>
      <c r="F86" s="18" t="s">
        <v>84</v>
      </c>
      <c r="G86" s="19">
        <v>32000</v>
      </c>
      <c r="H86" s="19"/>
      <c r="I86" s="15"/>
      <c r="J86" s="15">
        <f t="shared" si="0"/>
        <v>11503000</v>
      </c>
      <c r="K86" s="16"/>
      <c r="L86">
        <f t="shared" si="2"/>
        <v>11503000</v>
      </c>
    </row>
    <row r="87" spans="1:12" ht="15" customHeight="1">
      <c r="A87" s="21"/>
      <c r="B87" s="18" t="s">
        <v>85</v>
      </c>
      <c r="C87" s="18" t="s">
        <v>85</v>
      </c>
      <c r="D87" s="18" t="s">
        <v>85</v>
      </c>
      <c r="E87" s="18" t="s">
        <v>85</v>
      </c>
      <c r="F87" s="18" t="s">
        <v>85</v>
      </c>
      <c r="G87" s="19">
        <v>95000</v>
      </c>
      <c r="H87" s="19"/>
      <c r="I87" s="15"/>
      <c r="J87" s="15">
        <f t="shared" si="0"/>
        <v>11598000</v>
      </c>
      <c r="K87" s="16"/>
      <c r="L87">
        <f t="shared" si="2"/>
        <v>11598000</v>
      </c>
    </row>
    <row r="88" spans="1:12" ht="15" customHeight="1">
      <c r="A88" s="21"/>
      <c r="B88" s="18" t="s">
        <v>86</v>
      </c>
      <c r="C88" s="18" t="s">
        <v>86</v>
      </c>
      <c r="D88" s="18" t="s">
        <v>86</v>
      </c>
      <c r="E88" s="18" t="s">
        <v>86</v>
      </c>
      <c r="F88" s="18" t="s">
        <v>86</v>
      </c>
      <c r="G88" s="19">
        <v>90000</v>
      </c>
      <c r="H88" s="19"/>
      <c r="I88" s="15"/>
      <c r="J88" s="15">
        <f t="shared" si="0"/>
        <v>11688000</v>
      </c>
      <c r="K88" s="16"/>
      <c r="L88">
        <f t="shared" si="2"/>
        <v>11688000</v>
      </c>
    </row>
    <row r="89" spans="1:12" ht="15" customHeight="1">
      <c r="A89" s="21"/>
      <c r="B89" s="18" t="s">
        <v>19</v>
      </c>
      <c r="C89" s="18" t="s">
        <v>19</v>
      </c>
      <c r="D89" s="18" t="s">
        <v>19</v>
      </c>
      <c r="E89" s="18" t="s">
        <v>19</v>
      </c>
      <c r="F89" s="18" t="s">
        <v>19</v>
      </c>
      <c r="G89" s="19"/>
      <c r="H89" s="19"/>
      <c r="I89" s="15"/>
      <c r="J89" s="15" t="str">
        <f t="shared" si="0"/>
        <v/>
      </c>
      <c r="K89" s="16"/>
      <c r="L89">
        <f t="shared" si="2"/>
        <v>11688000</v>
      </c>
    </row>
    <row r="90" spans="1:12" ht="15" customHeight="1">
      <c r="A90" s="21"/>
      <c r="B90" s="18" t="s">
        <v>87</v>
      </c>
      <c r="C90" s="18" t="s">
        <v>87</v>
      </c>
      <c r="D90" s="18" t="s">
        <v>87</v>
      </c>
      <c r="E90" s="18" t="s">
        <v>87</v>
      </c>
      <c r="F90" s="18" t="s">
        <v>87</v>
      </c>
      <c r="G90" s="19">
        <v>150000</v>
      </c>
      <c r="H90" s="19"/>
      <c r="I90" s="15"/>
      <c r="J90" s="15">
        <f t="shared" si="0"/>
        <v>11838000</v>
      </c>
      <c r="K90" s="16"/>
      <c r="L90">
        <f t="shared" si="2"/>
        <v>11838000</v>
      </c>
    </row>
    <row r="91" spans="1:12" ht="15" customHeight="1">
      <c r="A91" s="21"/>
      <c r="B91" s="18" t="s">
        <v>88</v>
      </c>
      <c r="C91" s="18" t="s">
        <v>88</v>
      </c>
      <c r="D91" s="18" t="s">
        <v>88</v>
      </c>
      <c r="E91" s="18" t="s">
        <v>88</v>
      </c>
      <c r="F91" s="18" t="s">
        <v>88</v>
      </c>
      <c r="G91" s="19"/>
      <c r="H91" s="19"/>
      <c r="I91" s="15"/>
      <c r="J91" s="15" t="str">
        <f t="shared" si="0"/>
        <v/>
      </c>
      <c r="K91" s="16"/>
      <c r="L91">
        <f t="shared" si="2"/>
        <v>11838000</v>
      </c>
    </row>
    <row r="92" spans="1:12" ht="15" customHeight="1">
      <c r="A92" s="21"/>
      <c r="B92" s="18" t="s">
        <v>89</v>
      </c>
      <c r="C92" s="18" t="s">
        <v>89</v>
      </c>
      <c r="D92" s="18" t="s">
        <v>89</v>
      </c>
      <c r="E92" s="18" t="s">
        <v>89</v>
      </c>
      <c r="F92" s="18" t="s">
        <v>89</v>
      </c>
      <c r="G92" s="19">
        <v>128870950</v>
      </c>
      <c r="H92" s="19"/>
      <c r="I92" s="15"/>
      <c r="J92" s="15">
        <f t="shared" si="0"/>
        <v>140708950</v>
      </c>
      <c r="K92" s="16"/>
      <c r="L92">
        <f t="shared" si="2"/>
        <v>140708950</v>
      </c>
    </row>
    <row r="93" spans="1:12" ht="15" customHeight="1">
      <c r="A93" s="21"/>
      <c r="B93" s="18" t="s">
        <v>90</v>
      </c>
      <c r="C93" s="18" t="s">
        <v>90</v>
      </c>
      <c r="D93" s="18" t="s">
        <v>90</v>
      </c>
      <c r="E93" s="18" t="s">
        <v>90</v>
      </c>
      <c r="F93" s="18" t="s">
        <v>90</v>
      </c>
      <c r="G93" s="19"/>
      <c r="H93" s="19"/>
      <c r="I93" s="15"/>
      <c r="J93" s="15" t="str">
        <f t="shared" si="0"/>
        <v/>
      </c>
      <c r="K93" s="16"/>
      <c r="L93">
        <f t="shared" si="2"/>
        <v>140708950</v>
      </c>
    </row>
    <row r="94" spans="1:12" ht="15" customHeight="1">
      <c r="A94" s="21"/>
      <c r="B94" s="18" t="s">
        <v>91</v>
      </c>
      <c r="C94" s="18" t="s">
        <v>92</v>
      </c>
      <c r="D94" s="18" t="s">
        <v>92</v>
      </c>
      <c r="E94" s="18" t="s">
        <v>92</v>
      </c>
      <c r="F94" s="18" t="s">
        <v>92</v>
      </c>
      <c r="G94" s="19">
        <v>2343000</v>
      </c>
      <c r="H94" s="19"/>
      <c r="I94" s="15"/>
      <c r="J94" s="15">
        <f t="shared" si="0"/>
        <v>143051950</v>
      </c>
      <c r="K94" s="16"/>
      <c r="L94">
        <f t="shared" si="2"/>
        <v>143051950</v>
      </c>
    </row>
    <row r="95" spans="1:12" ht="15" customHeight="1">
      <c r="A95" s="21"/>
      <c r="B95" s="18" t="s">
        <v>93</v>
      </c>
      <c r="C95" s="18" t="s">
        <v>94</v>
      </c>
      <c r="D95" s="18" t="s">
        <v>94</v>
      </c>
      <c r="E95" s="18" t="s">
        <v>94</v>
      </c>
      <c r="F95" s="18" t="s">
        <v>94</v>
      </c>
      <c r="G95" s="19">
        <v>2000000</v>
      </c>
      <c r="H95" s="19"/>
      <c r="I95" s="15"/>
      <c r="J95" s="15">
        <f t="shared" si="0"/>
        <v>145051950</v>
      </c>
      <c r="K95" s="16"/>
      <c r="L95">
        <f t="shared" si="2"/>
        <v>145051950</v>
      </c>
    </row>
    <row r="96" spans="1:12" ht="15" customHeight="1">
      <c r="A96" s="21"/>
      <c r="B96" s="18" t="s">
        <v>40</v>
      </c>
      <c r="C96" s="18" t="s">
        <v>40</v>
      </c>
      <c r="D96" s="18" t="s">
        <v>40</v>
      </c>
      <c r="E96" s="18" t="s">
        <v>40</v>
      </c>
      <c r="F96" s="18" t="s">
        <v>40</v>
      </c>
      <c r="G96" s="19"/>
      <c r="H96" s="19"/>
      <c r="I96" s="15"/>
      <c r="J96" s="15" t="str">
        <f t="shared" si="0"/>
        <v/>
      </c>
      <c r="K96" s="16"/>
      <c r="L96">
        <f t="shared" si="2"/>
        <v>145051950</v>
      </c>
    </row>
    <row r="97" spans="1:12" ht="15" customHeight="1">
      <c r="A97" s="21"/>
      <c r="B97" s="18" t="s">
        <v>95</v>
      </c>
      <c r="C97" s="18" t="s">
        <v>95</v>
      </c>
      <c r="D97" s="18" t="s">
        <v>95</v>
      </c>
      <c r="E97" s="18" t="s">
        <v>95</v>
      </c>
      <c r="F97" s="18" t="s">
        <v>95</v>
      </c>
      <c r="G97" s="19">
        <v>200000</v>
      </c>
      <c r="H97" s="19"/>
      <c r="I97" s="15"/>
      <c r="J97" s="15">
        <f t="shared" si="0"/>
        <v>145251950</v>
      </c>
      <c r="K97" s="16"/>
      <c r="L97">
        <f t="shared" si="2"/>
        <v>145251950</v>
      </c>
    </row>
    <row r="98" spans="1:12" ht="15" customHeight="1">
      <c r="A98" s="21"/>
      <c r="B98" s="18" t="s">
        <v>96</v>
      </c>
      <c r="C98" s="18" t="s">
        <v>96</v>
      </c>
      <c r="D98" s="18" t="s">
        <v>96</v>
      </c>
      <c r="E98" s="18" t="s">
        <v>96</v>
      </c>
      <c r="F98" s="18" t="s">
        <v>96</v>
      </c>
      <c r="G98" s="19"/>
      <c r="H98" s="19"/>
      <c r="I98" s="15"/>
      <c r="J98" s="15" t="str">
        <f t="shared" si="0"/>
        <v/>
      </c>
      <c r="K98" s="16"/>
      <c r="L98">
        <f t="shared" si="2"/>
        <v>145251950</v>
      </c>
    </row>
    <row r="99" spans="1:12" ht="15" customHeight="1">
      <c r="A99" s="21"/>
      <c r="B99" s="18" t="s">
        <v>97</v>
      </c>
      <c r="C99" s="18" t="s">
        <v>98</v>
      </c>
      <c r="D99" s="18" t="s">
        <v>98</v>
      </c>
      <c r="E99" s="18" t="s">
        <v>98</v>
      </c>
      <c r="F99" s="18" t="s">
        <v>98</v>
      </c>
      <c r="G99" s="19">
        <v>2048000</v>
      </c>
      <c r="H99" s="19"/>
      <c r="I99" s="15"/>
      <c r="J99" s="15">
        <f t="shared" si="0"/>
        <v>147299950</v>
      </c>
      <c r="K99" s="16"/>
      <c r="L99">
        <f t="shared" si="2"/>
        <v>147299950</v>
      </c>
    </row>
    <row r="100" spans="1:12" ht="15" customHeight="1">
      <c r="A100" s="21"/>
      <c r="B100" s="18" t="s">
        <v>99</v>
      </c>
      <c r="C100" s="18" t="s">
        <v>100</v>
      </c>
      <c r="D100" s="18" t="s">
        <v>100</v>
      </c>
      <c r="E100" s="18" t="s">
        <v>100</v>
      </c>
      <c r="F100" s="18" t="s">
        <v>100</v>
      </c>
      <c r="G100" s="19">
        <v>1589000</v>
      </c>
      <c r="H100" s="19"/>
      <c r="I100" s="15"/>
      <c r="J100" s="15">
        <f t="shared" si="0"/>
        <v>148888950</v>
      </c>
      <c r="K100" s="16"/>
      <c r="L100">
        <f t="shared" si="2"/>
        <v>148888950</v>
      </c>
    </row>
    <row r="101" spans="1:12" ht="15" customHeight="1">
      <c r="A101" s="21"/>
      <c r="B101" s="18" t="s">
        <v>14</v>
      </c>
      <c r="C101" s="18" t="s">
        <v>14</v>
      </c>
      <c r="D101" s="18" t="s">
        <v>14</v>
      </c>
      <c r="E101" s="18" t="s">
        <v>14</v>
      </c>
      <c r="F101" s="18" t="s">
        <v>14</v>
      </c>
      <c r="G101" s="19"/>
      <c r="H101" s="19"/>
      <c r="I101" s="15"/>
      <c r="J101" s="15" t="str">
        <f t="shared" si="0"/>
        <v/>
      </c>
      <c r="K101" s="16"/>
      <c r="L101">
        <f t="shared" si="2"/>
        <v>148888950</v>
      </c>
    </row>
    <row r="102" spans="1:12" ht="15" customHeight="1">
      <c r="A102" s="21"/>
      <c r="B102" s="18" t="s">
        <v>101</v>
      </c>
      <c r="C102" s="18" t="s">
        <v>101</v>
      </c>
      <c r="D102" s="18" t="s">
        <v>101</v>
      </c>
      <c r="E102" s="18" t="s">
        <v>101</v>
      </c>
      <c r="F102" s="18" t="s">
        <v>101</v>
      </c>
      <c r="G102" s="19">
        <v>80000</v>
      </c>
      <c r="H102" s="19"/>
      <c r="I102" s="15"/>
      <c r="J102" s="15">
        <f t="shared" si="0"/>
        <v>148968950</v>
      </c>
      <c r="K102" s="16"/>
      <c r="L102">
        <f t="shared" si="2"/>
        <v>148968950</v>
      </c>
    </row>
    <row r="103" spans="1:12" ht="15" customHeight="1">
      <c r="A103" s="21"/>
      <c r="B103" s="18" t="s">
        <v>102</v>
      </c>
      <c r="C103" s="18" t="s">
        <v>102</v>
      </c>
      <c r="D103" s="18" t="s">
        <v>102</v>
      </c>
      <c r="E103" s="18" t="s">
        <v>102</v>
      </c>
      <c r="F103" s="18" t="s">
        <v>102</v>
      </c>
      <c r="G103" s="19">
        <v>105000</v>
      </c>
      <c r="H103" s="19"/>
      <c r="I103" s="15"/>
      <c r="J103" s="15">
        <f t="shared" si="0"/>
        <v>149073950</v>
      </c>
      <c r="K103" s="16"/>
      <c r="L103">
        <f t="shared" si="2"/>
        <v>149073950</v>
      </c>
    </row>
    <row r="104" spans="1:12" ht="15" customHeight="1">
      <c r="A104" s="21"/>
      <c r="B104" s="18" t="s">
        <v>103</v>
      </c>
      <c r="C104" s="18" t="s">
        <v>103</v>
      </c>
      <c r="D104" s="18" t="s">
        <v>103</v>
      </c>
      <c r="E104" s="18" t="s">
        <v>103</v>
      </c>
      <c r="F104" s="18" t="s">
        <v>103</v>
      </c>
      <c r="G104" s="19">
        <v>313000</v>
      </c>
      <c r="H104" s="19"/>
      <c r="I104" s="15"/>
      <c r="J104" s="15">
        <f t="shared" si="0"/>
        <v>149386950</v>
      </c>
      <c r="K104" s="16"/>
      <c r="L104">
        <f t="shared" si="2"/>
        <v>149386950</v>
      </c>
    </row>
    <row r="105" spans="1:12" ht="15" customHeight="1">
      <c r="A105" s="21"/>
      <c r="B105" s="18" t="s">
        <v>104</v>
      </c>
      <c r="C105" s="18" t="s">
        <v>104</v>
      </c>
      <c r="D105" s="18" t="s">
        <v>104</v>
      </c>
      <c r="E105" s="18" t="s">
        <v>104</v>
      </c>
      <c r="F105" s="18" t="s">
        <v>104</v>
      </c>
      <c r="G105" s="19">
        <v>142000</v>
      </c>
      <c r="H105" s="19"/>
      <c r="I105" s="15"/>
      <c r="J105" s="15">
        <f t="shared" si="0"/>
        <v>149528950</v>
      </c>
      <c r="K105" s="16"/>
      <c r="L105">
        <f t="shared" si="2"/>
        <v>149528950</v>
      </c>
    </row>
    <row r="106" spans="1:12" ht="15" customHeight="1">
      <c r="A106" s="21"/>
      <c r="B106" s="18" t="s">
        <v>105</v>
      </c>
      <c r="C106" s="18" t="s">
        <v>105</v>
      </c>
      <c r="D106" s="18" t="s">
        <v>105</v>
      </c>
      <c r="E106" s="18" t="s">
        <v>105</v>
      </c>
      <c r="F106" s="18" t="s">
        <v>105</v>
      </c>
      <c r="G106" s="19"/>
      <c r="H106" s="19"/>
      <c r="I106" s="15"/>
      <c r="J106" s="15" t="str">
        <f t="shared" si="0"/>
        <v/>
      </c>
      <c r="K106" s="16"/>
      <c r="L106">
        <f t="shared" si="2"/>
        <v>149528950</v>
      </c>
    </row>
    <row r="107" spans="1:12" ht="15" customHeight="1">
      <c r="A107" s="21"/>
      <c r="B107" s="18" t="s">
        <v>106</v>
      </c>
      <c r="C107" s="18" t="s">
        <v>106</v>
      </c>
      <c r="D107" s="18" t="s">
        <v>106</v>
      </c>
      <c r="E107" s="18" t="s">
        <v>106</v>
      </c>
      <c r="F107" s="18" t="s">
        <v>106</v>
      </c>
      <c r="G107" s="19">
        <v>1000000</v>
      </c>
      <c r="H107" s="19"/>
      <c r="I107" s="15"/>
      <c r="J107" s="15">
        <f t="shared" si="0"/>
        <v>150528950</v>
      </c>
      <c r="K107" s="16"/>
      <c r="L107">
        <f t="shared" si="2"/>
        <v>150528950</v>
      </c>
    </row>
    <row r="108" spans="1:12" ht="15" customHeight="1">
      <c r="A108" s="21"/>
      <c r="B108" s="18" t="s">
        <v>107</v>
      </c>
      <c r="C108" s="18" t="s">
        <v>107</v>
      </c>
      <c r="D108" s="18" t="s">
        <v>107</v>
      </c>
      <c r="E108" s="18" t="s">
        <v>107</v>
      </c>
      <c r="F108" s="18" t="s">
        <v>107</v>
      </c>
      <c r="G108" s="19">
        <v>1500000</v>
      </c>
      <c r="H108" s="19"/>
      <c r="I108" s="15"/>
      <c r="J108" s="15">
        <f t="shared" si="0"/>
        <v>152028950</v>
      </c>
      <c r="K108" s="16"/>
      <c r="L108">
        <f t="shared" si="2"/>
        <v>152028950</v>
      </c>
    </row>
    <row r="109" spans="1:12" ht="15" customHeight="1">
      <c r="A109" s="21"/>
      <c r="B109" s="18" t="s">
        <v>108</v>
      </c>
      <c r="C109" s="18" t="s">
        <v>108</v>
      </c>
      <c r="D109" s="18" t="s">
        <v>108</v>
      </c>
      <c r="E109" s="18" t="s">
        <v>108</v>
      </c>
      <c r="F109" s="18" t="s">
        <v>108</v>
      </c>
      <c r="G109" s="19">
        <v>50000</v>
      </c>
      <c r="H109" s="19"/>
      <c r="I109" s="15"/>
      <c r="J109" s="15">
        <f t="shared" si="0"/>
        <v>152078950</v>
      </c>
      <c r="K109" s="16"/>
      <c r="L109">
        <f t="shared" si="2"/>
        <v>152078950</v>
      </c>
    </row>
    <row r="110" spans="1:12" ht="15" customHeight="1">
      <c r="A110" s="21"/>
      <c r="B110" s="18" t="s">
        <v>17</v>
      </c>
      <c r="C110" s="18" t="s">
        <v>17</v>
      </c>
      <c r="D110" s="18" t="s">
        <v>17</v>
      </c>
      <c r="E110" s="18" t="s">
        <v>17</v>
      </c>
      <c r="F110" s="18" t="s">
        <v>17</v>
      </c>
      <c r="G110" s="19"/>
      <c r="H110" s="19"/>
      <c r="I110" s="15"/>
      <c r="J110" s="15" t="str">
        <f t="shared" si="0"/>
        <v/>
      </c>
      <c r="K110" s="16"/>
      <c r="L110">
        <f t="shared" si="2"/>
        <v>152078950</v>
      </c>
    </row>
    <row r="111" spans="1:12" ht="15" customHeight="1">
      <c r="A111" s="21"/>
      <c r="B111" s="18" t="s">
        <v>109</v>
      </c>
      <c r="C111" s="18" t="s">
        <v>109</v>
      </c>
      <c r="D111" s="18" t="s">
        <v>109</v>
      </c>
      <c r="E111" s="18" t="s">
        <v>109</v>
      </c>
      <c r="F111" s="18" t="s">
        <v>109</v>
      </c>
      <c r="G111" s="19">
        <v>133000</v>
      </c>
      <c r="H111" s="19"/>
      <c r="I111" s="15"/>
      <c r="J111" s="15">
        <f t="shared" si="0"/>
        <v>152211950</v>
      </c>
      <c r="K111" s="16"/>
      <c r="L111">
        <f t="shared" si="2"/>
        <v>152211950</v>
      </c>
    </row>
    <row r="112" spans="1:12" ht="15" customHeight="1">
      <c r="A112" s="21"/>
      <c r="B112" s="18" t="s">
        <v>110</v>
      </c>
      <c r="C112" s="18" t="s">
        <v>110</v>
      </c>
      <c r="D112" s="18" t="s">
        <v>110</v>
      </c>
      <c r="E112" s="18" t="s">
        <v>110</v>
      </c>
      <c r="F112" s="18" t="s">
        <v>110</v>
      </c>
      <c r="G112" s="19">
        <v>133000</v>
      </c>
      <c r="H112" s="19"/>
      <c r="I112" s="15"/>
      <c r="J112" s="15">
        <f t="shared" si="0"/>
        <v>152344950</v>
      </c>
      <c r="K112" s="16"/>
      <c r="L112">
        <f t="shared" si="2"/>
        <v>152344950</v>
      </c>
    </row>
    <row r="113" spans="1:12" ht="15" customHeight="1">
      <c r="A113" s="21"/>
      <c r="B113" s="18" t="s">
        <v>111</v>
      </c>
      <c r="C113" s="18" t="s">
        <v>111</v>
      </c>
      <c r="D113" s="18" t="s">
        <v>111</v>
      </c>
      <c r="E113" s="18" t="s">
        <v>111</v>
      </c>
      <c r="F113" s="18" t="s">
        <v>111</v>
      </c>
      <c r="G113" s="19">
        <v>305000</v>
      </c>
      <c r="H113" s="19"/>
      <c r="I113" s="15"/>
      <c r="J113" s="15">
        <f t="shared" si="0"/>
        <v>152649950</v>
      </c>
      <c r="K113" s="16"/>
      <c r="L113">
        <f t="shared" si="2"/>
        <v>152649950</v>
      </c>
    </row>
    <row r="114" spans="1:12" ht="15" customHeight="1">
      <c r="A114" s="21"/>
      <c r="B114" s="18" t="s">
        <v>112</v>
      </c>
      <c r="C114" s="18" t="s">
        <v>112</v>
      </c>
      <c r="D114" s="18" t="s">
        <v>112</v>
      </c>
      <c r="E114" s="18" t="s">
        <v>112</v>
      </c>
      <c r="F114" s="18" t="s">
        <v>112</v>
      </c>
      <c r="G114" s="19">
        <v>280000</v>
      </c>
      <c r="H114" s="19"/>
      <c r="I114" s="15"/>
      <c r="J114" s="15">
        <f t="shared" si="0"/>
        <v>152929950</v>
      </c>
      <c r="K114" s="16"/>
      <c r="L114">
        <f t="shared" si="2"/>
        <v>152929950</v>
      </c>
    </row>
    <row r="115" spans="1:12" ht="15" customHeight="1">
      <c r="A115" s="21"/>
      <c r="B115" s="18" t="s">
        <v>113</v>
      </c>
      <c r="C115" s="18" t="s">
        <v>113</v>
      </c>
      <c r="D115" s="18" t="s">
        <v>113</v>
      </c>
      <c r="E115" s="18" t="s">
        <v>113</v>
      </c>
      <c r="F115" s="18" t="s">
        <v>113</v>
      </c>
      <c r="G115" s="19">
        <v>245000</v>
      </c>
      <c r="H115" s="19"/>
      <c r="I115" s="15"/>
      <c r="J115" s="15">
        <f t="shared" si="0"/>
        <v>153174950</v>
      </c>
      <c r="K115" s="16"/>
      <c r="L115">
        <f t="shared" si="2"/>
        <v>153174950</v>
      </c>
    </row>
    <row r="116" spans="1:12" ht="15" customHeight="1">
      <c r="A116" s="21"/>
      <c r="B116" s="18" t="s">
        <v>114</v>
      </c>
      <c r="C116" s="18" t="s">
        <v>114</v>
      </c>
      <c r="D116" s="18" t="s">
        <v>114</v>
      </c>
      <c r="E116" s="18" t="s">
        <v>114</v>
      </c>
      <c r="F116" s="18" t="s">
        <v>114</v>
      </c>
      <c r="G116" s="19">
        <v>122000</v>
      </c>
      <c r="H116" s="19"/>
      <c r="I116" s="15"/>
      <c r="J116" s="15">
        <f t="shared" si="0"/>
        <v>153296950</v>
      </c>
      <c r="K116" s="16"/>
      <c r="L116">
        <f t="shared" si="2"/>
        <v>153296950</v>
      </c>
    </row>
    <row r="117" spans="1:12" ht="15" customHeight="1">
      <c r="A117" s="21"/>
      <c r="B117" s="18" t="s">
        <v>115</v>
      </c>
      <c r="C117" s="18" t="s">
        <v>115</v>
      </c>
      <c r="D117" s="18" t="s">
        <v>115</v>
      </c>
      <c r="E117" s="18" t="s">
        <v>115</v>
      </c>
      <c r="F117" s="18" t="s">
        <v>115</v>
      </c>
      <c r="G117" s="19"/>
      <c r="H117" s="19"/>
      <c r="I117" s="15"/>
      <c r="J117" s="15" t="str">
        <f t="shared" si="0"/>
        <v/>
      </c>
      <c r="K117" s="16"/>
      <c r="L117">
        <f t="shared" si="2"/>
        <v>153296950</v>
      </c>
    </row>
    <row r="118" spans="1:12" ht="15" customHeight="1">
      <c r="A118" s="21"/>
      <c r="B118" s="18" t="s">
        <v>116</v>
      </c>
      <c r="C118" s="18" t="s">
        <v>116</v>
      </c>
      <c r="D118" s="18" t="s">
        <v>116</v>
      </c>
      <c r="E118" s="18" t="s">
        <v>116</v>
      </c>
      <c r="F118" s="18" t="s">
        <v>116</v>
      </c>
      <c r="G118" s="19">
        <v>50000</v>
      </c>
      <c r="H118" s="19"/>
      <c r="I118" s="15"/>
      <c r="J118" s="15">
        <f t="shared" si="0"/>
        <v>153346950</v>
      </c>
      <c r="K118" s="16"/>
      <c r="L118">
        <f t="shared" si="2"/>
        <v>153346950</v>
      </c>
    </row>
    <row r="119" spans="1:12" ht="15" customHeight="1">
      <c r="A119" s="21"/>
      <c r="B119" s="18" t="s">
        <v>117</v>
      </c>
      <c r="C119" s="18" t="s">
        <v>117</v>
      </c>
      <c r="D119" s="18" t="s">
        <v>117</v>
      </c>
      <c r="E119" s="18" t="s">
        <v>117</v>
      </c>
      <c r="F119" s="18" t="s">
        <v>117</v>
      </c>
      <c r="G119" s="19">
        <v>20000</v>
      </c>
      <c r="H119" s="19"/>
      <c r="I119" s="15"/>
      <c r="J119" s="15">
        <f t="shared" si="0"/>
        <v>153366950</v>
      </c>
      <c r="K119" s="16"/>
      <c r="L119">
        <f t="shared" si="2"/>
        <v>153366950</v>
      </c>
    </row>
    <row r="120" spans="1:12" ht="15" customHeight="1">
      <c r="A120" s="21"/>
      <c r="B120" s="18" t="s">
        <v>118</v>
      </c>
      <c r="C120" s="18" t="s">
        <v>118</v>
      </c>
      <c r="D120" s="18" t="s">
        <v>118</v>
      </c>
      <c r="E120" s="18" t="s">
        <v>118</v>
      </c>
      <c r="F120" s="18" t="s">
        <v>118</v>
      </c>
      <c r="G120" s="19">
        <v>20000</v>
      </c>
      <c r="H120" s="19"/>
      <c r="I120" s="15"/>
      <c r="J120" s="15">
        <f t="shared" si="0"/>
        <v>153386950</v>
      </c>
      <c r="K120" s="16"/>
      <c r="L120">
        <f t="shared" si="2"/>
        <v>153386950</v>
      </c>
    </row>
    <row r="121" spans="1:12" ht="15" customHeight="1">
      <c r="A121" s="21"/>
      <c r="B121" s="18" t="s">
        <v>119</v>
      </c>
      <c r="C121" s="18" t="s">
        <v>119</v>
      </c>
      <c r="D121" s="18" t="s">
        <v>119</v>
      </c>
      <c r="E121" s="18" t="s">
        <v>119</v>
      </c>
      <c r="F121" s="18" t="s">
        <v>119</v>
      </c>
      <c r="G121" s="19">
        <v>50000</v>
      </c>
      <c r="H121" s="19"/>
      <c r="I121" s="15"/>
      <c r="J121" s="15">
        <f t="shared" si="0"/>
        <v>153436950</v>
      </c>
      <c r="K121" s="16"/>
      <c r="L121">
        <f t="shared" si="2"/>
        <v>153436950</v>
      </c>
    </row>
    <row r="122" spans="1:12" ht="15" customHeight="1">
      <c r="A122" s="21"/>
      <c r="B122" s="18" t="s">
        <v>120</v>
      </c>
      <c r="C122" s="18" t="s">
        <v>120</v>
      </c>
      <c r="D122" s="18" t="s">
        <v>120</v>
      </c>
      <c r="E122" s="18" t="s">
        <v>120</v>
      </c>
      <c r="F122" s="18" t="s">
        <v>120</v>
      </c>
      <c r="G122" s="19">
        <v>100000</v>
      </c>
      <c r="H122" s="19"/>
      <c r="I122" s="15"/>
      <c r="J122" s="15">
        <f t="shared" si="0"/>
        <v>153536950</v>
      </c>
      <c r="K122" s="16"/>
      <c r="L122">
        <f t="shared" si="2"/>
        <v>153536950</v>
      </c>
    </row>
    <row r="123" spans="1:12" ht="15" customHeight="1">
      <c r="A123" s="21"/>
      <c r="B123" s="18" t="s">
        <v>121</v>
      </c>
      <c r="C123" s="18" t="s">
        <v>121</v>
      </c>
      <c r="D123" s="18" t="s">
        <v>121</v>
      </c>
      <c r="E123" s="18" t="s">
        <v>121</v>
      </c>
      <c r="F123" s="18" t="s">
        <v>121</v>
      </c>
      <c r="G123" s="19">
        <v>100000</v>
      </c>
      <c r="H123" s="19"/>
      <c r="I123" s="15"/>
      <c r="J123" s="15">
        <f t="shared" si="0"/>
        <v>153636950</v>
      </c>
      <c r="K123" s="16"/>
      <c r="L123">
        <f t="shared" si="2"/>
        <v>153636950</v>
      </c>
    </row>
    <row r="124" spans="1:12" ht="15" customHeight="1">
      <c r="A124" s="21"/>
      <c r="B124" s="18" t="s">
        <v>122</v>
      </c>
      <c r="C124" s="18" t="s">
        <v>122</v>
      </c>
      <c r="D124" s="18" t="s">
        <v>122</v>
      </c>
      <c r="E124" s="18" t="s">
        <v>122</v>
      </c>
      <c r="F124" s="18" t="s">
        <v>122</v>
      </c>
      <c r="G124" s="19">
        <v>100000</v>
      </c>
      <c r="H124" s="19"/>
      <c r="I124" s="15"/>
      <c r="J124" s="15">
        <f t="shared" si="0"/>
        <v>153736950</v>
      </c>
      <c r="K124" s="16"/>
      <c r="L124">
        <f t="shared" si="2"/>
        <v>153736950</v>
      </c>
    </row>
    <row r="125" spans="1:12" ht="15" customHeight="1">
      <c r="A125" s="21"/>
      <c r="B125" s="18" t="s">
        <v>123</v>
      </c>
      <c r="C125" s="18" t="s">
        <v>123</v>
      </c>
      <c r="D125" s="18" t="s">
        <v>123</v>
      </c>
      <c r="E125" s="18" t="s">
        <v>123</v>
      </c>
      <c r="F125" s="18" t="s">
        <v>123</v>
      </c>
      <c r="G125" s="19">
        <v>100000</v>
      </c>
      <c r="H125" s="19"/>
      <c r="I125" s="15"/>
      <c r="J125" s="15">
        <f t="shared" si="0"/>
        <v>153836950</v>
      </c>
      <c r="K125" s="16"/>
      <c r="L125">
        <f t="shared" si="2"/>
        <v>153836950</v>
      </c>
    </row>
    <row r="126" spans="1:12" ht="15" customHeight="1">
      <c r="A126" s="21"/>
      <c r="B126" s="18" t="s">
        <v>124</v>
      </c>
      <c r="C126" s="18" t="s">
        <v>124</v>
      </c>
      <c r="D126" s="18" t="s">
        <v>124</v>
      </c>
      <c r="E126" s="18" t="s">
        <v>124</v>
      </c>
      <c r="F126" s="18" t="s">
        <v>124</v>
      </c>
      <c r="G126" s="19">
        <v>50000</v>
      </c>
      <c r="H126" s="19"/>
      <c r="I126" s="15"/>
      <c r="J126" s="15">
        <f t="shared" si="0"/>
        <v>153886950</v>
      </c>
      <c r="K126" s="16"/>
      <c r="L126">
        <f t="shared" si="2"/>
        <v>153886950</v>
      </c>
    </row>
    <row r="127" spans="1:12" ht="15" customHeight="1">
      <c r="A127" s="21"/>
      <c r="B127" s="18" t="s">
        <v>125</v>
      </c>
      <c r="C127" s="18" t="s">
        <v>125</v>
      </c>
      <c r="D127" s="18" t="s">
        <v>125</v>
      </c>
      <c r="E127" s="18" t="s">
        <v>125</v>
      </c>
      <c r="F127" s="18" t="s">
        <v>125</v>
      </c>
      <c r="G127" s="19">
        <v>50000</v>
      </c>
      <c r="H127" s="19"/>
      <c r="I127" s="15"/>
      <c r="J127" s="15">
        <f t="shared" si="0"/>
        <v>153936950</v>
      </c>
      <c r="K127" s="16"/>
      <c r="L127">
        <f t="shared" si="2"/>
        <v>153936950</v>
      </c>
    </row>
    <row r="128" spans="1:12" ht="15" customHeight="1">
      <c r="A128" s="21"/>
      <c r="B128" s="18" t="s">
        <v>126</v>
      </c>
      <c r="C128" s="18" t="s">
        <v>126</v>
      </c>
      <c r="D128" s="18" t="s">
        <v>126</v>
      </c>
      <c r="E128" s="18" t="s">
        <v>126</v>
      </c>
      <c r="F128" s="18" t="s">
        <v>126</v>
      </c>
      <c r="G128" s="19">
        <v>200000</v>
      </c>
      <c r="H128" s="19"/>
      <c r="I128" s="15"/>
      <c r="J128" s="15">
        <f t="shared" si="0"/>
        <v>154136950</v>
      </c>
      <c r="K128" s="16"/>
      <c r="L128">
        <f t="shared" si="2"/>
        <v>154136950</v>
      </c>
    </row>
    <row r="129" spans="1:12" ht="15" customHeight="1">
      <c r="A129" s="21"/>
      <c r="B129" s="18" t="s">
        <v>127</v>
      </c>
      <c r="C129" s="18" t="s">
        <v>127</v>
      </c>
      <c r="D129" s="18" t="s">
        <v>127</v>
      </c>
      <c r="E129" s="18" t="s">
        <v>127</v>
      </c>
      <c r="F129" s="18" t="s">
        <v>127</v>
      </c>
      <c r="G129" s="19">
        <v>100000</v>
      </c>
      <c r="H129" s="19"/>
      <c r="I129" s="15"/>
      <c r="J129" s="15">
        <f t="shared" si="0"/>
        <v>154236950</v>
      </c>
      <c r="K129" s="16"/>
      <c r="L129">
        <f t="shared" si="2"/>
        <v>154236950</v>
      </c>
    </row>
    <row r="130" spans="1:12" ht="15" customHeight="1">
      <c r="A130" s="21"/>
      <c r="B130" s="18" t="s">
        <v>128</v>
      </c>
      <c r="C130" s="18" t="s">
        <v>128</v>
      </c>
      <c r="D130" s="18" t="s">
        <v>128</v>
      </c>
      <c r="E130" s="18" t="s">
        <v>128</v>
      </c>
      <c r="F130" s="18" t="s">
        <v>128</v>
      </c>
      <c r="G130" s="19">
        <v>100000</v>
      </c>
      <c r="H130" s="19"/>
      <c r="I130" s="15"/>
      <c r="J130" s="15">
        <f t="shared" si="0"/>
        <v>154336950</v>
      </c>
      <c r="K130" s="16"/>
      <c r="L130">
        <f t="shared" si="2"/>
        <v>154336950</v>
      </c>
    </row>
    <row r="131" spans="1:12" ht="15" customHeight="1">
      <c r="A131" s="21"/>
      <c r="B131" s="18" t="s">
        <v>129</v>
      </c>
      <c r="C131" s="18" t="s">
        <v>129</v>
      </c>
      <c r="D131" s="18" t="s">
        <v>129</v>
      </c>
      <c r="E131" s="18" t="s">
        <v>129</v>
      </c>
      <c r="F131" s="18" t="s">
        <v>129</v>
      </c>
      <c r="G131" s="19">
        <v>50000</v>
      </c>
      <c r="H131" s="19"/>
      <c r="I131" s="15"/>
      <c r="J131" s="15">
        <f t="shared" si="0"/>
        <v>154386950</v>
      </c>
      <c r="K131" s="16"/>
      <c r="L131">
        <f t="shared" si="2"/>
        <v>154386950</v>
      </c>
    </row>
    <row r="132" spans="1:12" ht="15" customHeight="1">
      <c r="A132" s="21"/>
      <c r="B132" s="18" t="s">
        <v>130</v>
      </c>
      <c r="C132" s="18" t="s">
        <v>130</v>
      </c>
      <c r="D132" s="18" t="s">
        <v>130</v>
      </c>
      <c r="E132" s="18" t="s">
        <v>130</v>
      </c>
      <c r="F132" s="18" t="s">
        <v>130</v>
      </c>
      <c r="G132" s="19">
        <v>100000</v>
      </c>
      <c r="H132" s="19"/>
      <c r="I132" s="15"/>
      <c r="J132" s="15">
        <f t="shared" si="0"/>
        <v>154486950</v>
      </c>
      <c r="K132" s="16"/>
      <c r="L132">
        <f t="shared" si="2"/>
        <v>154486950</v>
      </c>
    </row>
    <row r="133" spans="1:12" ht="15" customHeight="1">
      <c r="A133" s="21"/>
      <c r="B133" s="18" t="s">
        <v>131</v>
      </c>
      <c r="C133" s="18" t="s">
        <v>131</v>
      </c>
      <c r="D133" s="18" t="s">
        <v>131</v>
      </c>
      <c r="E133" s="18" t="s">
        <v>131</v>
      </c>
      <c r="F133" s="18" t="s">
        <v>131</v>
      </c>
      <c r="G133" s="19">
        <v>100000</v>
      </c>
      <c r="H133" s="19"/>
      <c r="I133" s="15"/>
      <c r="J133" s="15">
        <f t="shared" si="0"/>
        <v>154586950</v>
      </c>
      <c r="K133" s="16"/>
      <c r="L133">
        <f t="shared" ref="L133:L196" si="3">IF(J133="",L132,J133)</f>
        <v>154586950</v>
      </c>
    </row>
    <row r="134" spans="1:12" ht="15" customHeight="1">
      <c r="A134" s="21"/>
      <c r="B134" s="18" t="s">
        <v>132</v>
      </c>
      <c r="C134" s="18" t="s">
        <v>132</v>
      </c>
      <c r="D134" s="18" t="s">
        <v>132</v>
      </c>
      <c r="E134" s="18" t="s">
        <v>132</v>
      </c>
      <c r="F134" s="18" t="s">
        <v>132</v>
      </c>
      <c r="G134" s="19">
        <v>100000</v>
      </c>
      <c r="H134" s="19"/>
      <c r="I134" s="15"/>
      <c r="J134" s="15">
        <f t="shared" si="0"/>
        <v>154686950</v>
      </c>
      <c r="K134" s="16"/>
      <c r="L134">
        <f t="shared" si="3"/>
        <v>154686950</v>
      </c>
    </row>
    <row r="135" spans="1:12" ht="15" customHeight="1">
      <c r="A135" s="21"/>
      <c r="B135" s="18" t="s">
        <v>133</v>
      </c>
      <c r="C135" s="18" t="s">
        <v>133</v>
      </c>
      <c r="D135" s="18" t="s">
        <v>133</v>
      </c>
      <c r="E135" s="18" t="s">
        <v>133</v>
      </c>
      <c r="F135" s="18" t="s">
        <v>133</v>
      </c>
      <c r="G135" s="19">
        <v>50000</v>
      </c>
      <c r="H135" s="19"/>
      <c r="I135" s="15"/>
      <c r="J135" s="15">
        <f t="shared" si="0"/>
        <v>154736950</v>
      </c>
      <c r="K135" s="16"/>
      <c r="L135">
        <f t="shared" si="3"/>
        <v>154736950</v>
      </c>
    </row>
    <row r="136" spans="1:12" ht="15" customHeight="1">
      <c r="A136" s="21"/>
      <c r="B136" s="18" t="s">
        <v>134</v>
      </c>
      <c r="C136" s="18" t="s">
        <v>134</v>
      </c>
      <c r="D136" s="18" t="s">
        <v>134</v>
      </c>
      <c r="E136" s="18" t="s">
        <v>134</v>
      </c>
      <c r="F136" s="18" t="s">
        <v>134</v>
      </c>
      <c r="G136" s="19">
        <v>50000</v>
      </c>
      <c r="H136" s="19"/>
      <c r="I136" s="15"/>
      <c r="J136" s="15">
        <f t="shared" si="0"/>
        <v>154786950</v>
      </c>
      <c r="K136" s="16"/>
      <c r="L136">
        <f t="shared" si="3"/>
        <v>154786950</v>
      </c>
    </row>
    <row r="137" spans="1:12" ht="15" customHeight="1">
      <c r="A137" s="21"/>
      <c r="B137" s="18" t="s">
        <v>135</v>
      </c>
      <c r="C137" s="18" t="s">
        <v>135</v>
      </c>
      <c r="D137" s="18" t="s">
        <v>135</v>
      </c>
      <c r="E137" s="18" t="s">
        <v>135</v>
      </c>
      <c r="F137" s="18" t="s">
        <v>135</v>
      </c>
      <c r="G137" s="19">
        <v>200000</v>
      </c>
      <c r="H137" s="19"/>
      <c r="I137" s="15"/>
      <c r="J137" s="15">
        <f t="shared" si="0"/>
        <v>154986950</v>
      </c>
      <c r="K137" s="16"/>
      <c r="L137">
        <f t="shared" si="3"/>
        <v>154986950</v>
      </c>
    </row>
    <row r="138" spans="1:12" ht="15" customHeight="1">
      <c r="A138" s="21"/>
      <c r="B138" s="18" t="s">
        <v>60</v>
      </c>
      <c r="C138" s="18" t="s">
        <v>60</v>
      </c>
      <c r="D138" s="18" t="s">
        <v>60</v>
      </c>
      <c r="E138" s="18" t="s">
        <v>60</v>
      </c>
      <c r="F138" s="18" t="s">
        <v>60</v>
      </c>
      <c r="G138" s="19"/>
      <c r="H138" s="19"/>
      <c r="I138" s="15"/>
      <c r="J138" s="15" t="str">
        <f t="shared" si="0"/>
        <v/>
      </c>
      <c r="K138" s="16"/>
      <c r="L138">
        <f t="shared" si="3"/>
        <v>154986950</v>
      </c>
    </row>
    <row r="139" spans="1:12" ht="15" customHeight="1">
      <c r="A139" s="21"/>
      <c r="B139" s="18" t="s">
        <v>136</v>
      </c>
      <c r="C139" s="18" t="s">
        <v>136</v>
      </c>
      <c r="D139" s="18" t="s">
        <v>136</v>
      </c>
      <c r="E139" s="18" t="s">
        <v>136</v>
      </c>
      <c r="F139" s="18" t="s">
        <v>136</v>
      </c>
      <c r="G139" s="19">
        <v>42000</v>
      </c>
      <c r="H139" s="19"/>
      <c r="I139" s="15"/>
      <c r="J139" s="15">
        <f t="shared" si="0"/>
        <v>155028950</v>
      </c>
      <c r="K139" s="16"/>
      <c r="L139">
        <f t="shared" si="3"/>
        <v>155028950</v>
      </c>
    </row>
    <row r="140" spans="1:12" ht="15" customHeight="1">
      <c r="A140" s="21"/>
      <c r="B140" s="18" t="s">
        <v>137</v>
      </c>
      <c r="C140" s="18" t="s">
        <v>137</v>
      </c>
      <c r="D140" s="18" t="s">
        <v>137</v>
      </c>
      <c r="E140" s="18" t="s">
        <v>137</v>
      </c>
      <c r="F140" s="18" t="s">
        <v>137</v>
      </c>
      <c r="G140" s="19"/>
      <c r="H140" s="19"/>
      <c r="I140" s="15"/>
      <c r="J140" s="15" t="str">
        <f t="shared" si="0"/>
        <v/>
      </c>
      <c r="K140" s="16"/>
      <c r="L140">
        <f t="shared" si="3"/>
        <v>155028950</v>
      </c>
    </row>
    <row r="141" spans="1:12" ht="15" customHeight="1">
      <c r="A141" s="21"/>
      <c r="B141" s="18" t="s">
        <v>28</v>
      </c>
      <c r="C141" s="18" t="s">
        <v>28</v>
      </c>
      <c r="D141" s="18" t="s">
        <v>28</v>
      </c>
      <c r="E141" s="18" t="s">
        <v>28</v>
      </c>
      <c r="F141" s="18" t="s">
        <v>28</v>
      </c>
      <c r="G141" s="19">
        <v>250000</v>
      </c>
      <c r="H141" s="19"/>
      <c r="I141" s="15"/>
      <c r="J141" s="15">
        <f t="shared" si="0"/>
        <v>155278950</v>
      </c>
      <c r="K141" s="16"/>
      <c r="L141">
        <f t="shared" si="3"/>
        <v>155278950</v>
      </c>
    </row>
    <row r="142" spans="1:12" ht="15" customHeight="1">
      <c r="A142" s="21"/>
      <c r="B142" s="18" t="s">
        <v>138</v>
      </c>
      <c r="C142" s="18" t="s">
        <v>138</v>
      </c>
      <c r="D142" s="18" t="s">
        <v>138</v>
      </c>
      <c r="E142" s="18" t="s">
        <v>138</v>
      </c>
      <c r="F142" s="18" t="s">
        <v>138</v>
      </c>
      <c r="G142" s="19">
        <v>20000</v>
      </c>
      <c r="H142" s="19"/>
      <c r="I142" s="15"/>
      <c r="J142" s="15">
        <f t="shared" si="0"/>
        <v>155298950</v>
      </c>
      <c r="K142" s="16"/>
      <c r="L142">
        <f t="shared" si="3"/>
        <v>155298950</v>
      </c>
    </row>
    <row r="143" spans="1:12" ht="15" customHeight="1">
      <c r="A143" s="21"/>
      <c r="B143" s="18" t="s">
        <v>139</v>
      </c>
      <c r="C143" s="18" t="s">
        <v>139</v>
      </c>
      <c r="D143" s="18" t="s">
        <v>139</v>
      </c>
      <c r="E143" s="18" t="s">
        <v>139</v>
      </c>
      <c r="F143" s="18" t="s">
        <v>139</v>
      </c>
      <c r="G143" s="19">
        <v>100000</v>
      </c>
      <c r="H143" s="19"/>
      <c r="I143" s="15"/>
      <c r="J143" s="15">
        <f t="shared" si="0"/>
        <v>155398950</v>
      </c>
      <c r="K143" s="16"/>
      <c r="L143">
        <f t="shared" si="3"/>
        <v>155398950</v>
      </c>
    </row>
    <row r="144" spans="1:12" ht="15" customHeight="1">
      <c r="A144" s="21"/>
      <c r="B144" s="18" t="s">
        <v>140</v>
      </c>
      <c r="C144" s="18" t="s">
        <v>140</v>
      </c>
      <c r="D144" s="18" t="s">
        <v>140</v>
      </c>
      <c r="E144" s="18" t="s">
        <v>140</v>
      </c>
      <c r="F144" s="18" t="s">
        <v>140</v>
      </c>
      <c r="G144" s="19"/>
      <c r="H144" s="19"/>
      <c r="I144" s="15"/>
      <c r="J144" s="15" t="str">
        <f t="shared" si="0"/>
        <v/>
      </c>
      <c r="K144" s="16"/>
      <c r="L144">
        <f t="shared" si="3"/>
        <v>155398950</v>
      </c>
    </row>
    <row r="145" spans="1:12" ht="15" customHeight="1">
      <c r="A145" s="21"/>
      <c r="B145" s="18" t="s">
        <v>141</v>
      </c>
      <c r="C145" s="18" t="s">
        <v>141</v>
      </c>
      <c r="D145" s="18" t="s">
        <v>141</v>
      </c>
      <c r="E145" s="18" t="s">
        <v>141</v>
      </c>
      <c r="F145" s="18" t="s">
        <v>141</v>
      </c>
      <c r="G145" s="19">
        <v>50000</v>
      </c>
      <c r="H145" s="19"/>
      <c r="I145" s="15"/>
      <c r="J145" s="15">
        <f t="shared" si="0"/>
        <v>155448950</v>
      </c>
      <c r="K145" s="16"/>
      <c r="L145">
        <f t="shared" si="3"/>
        <v>155448950</v>
      </c>
    </row>
    <row r="146" spans="1:12" ht="15" customHeight="1">
      <c r="A146" s="21"/>
      <c r="B146" s="18" t="s">
        <v>142</v>
      </c>
      <c r="C146" s="18" t="s">
        <v>142</v>
      </c>
      <c r="D146" s="18" t="s">
        <v>142</v>
      </c>
      <c r="E146" s="18" t="s">
        <v>142</v>
      </c>
      <c r="F146" s="18" t="s">
        <v>142</v>
      </c>
      <c r="G146" s="19">
        <v>40000</v>
      </c>
      <c r="H146" s="19"/>
      <c r="I146" s="15"/>
      <c r="J146" s="15">
        <f t="shared" si="0"/>
        <v>155488950</v>
      </c>
      <c r="K146" s="16"/>
      <c r="L146">
        <f t="shared" si="3"/>
        <v>155488950</v>
      </c>
    </row>
    <row r="147" spans="1:12" ht="15" customHeight="1">
      <c r="A147" s="21"/>
      <c r="B147" s="18" t="s">
        <v>49</v>
      </c>
      <c r="C147" s="18" t="s">
        <v>49</v>
      </c>
      <c r="D147" s="18" t="s">
        <v>49</v>
      </c>
      <c r="E147" s="18" t="s">
        <v>49</v>
      </c>
      <c r="F147" s="18" t="s">
        <v>49</v>
      </c>
      <c r="G147" s="19"/>
      <c r="H147" s="19"/>
      <c r="I147" s="15"/>
      <c r="J147" s="15" t="str">
        <f t="shared" si="0"/>
        <v/>
      </c>
      <c r="K147" s="16"/>
      <c r="L147">
        <f t="shared" si="3"/>
        <v>155488950</v>
      </c>
    </row>
    <row r="148" spans="1:12" ht="15" customHeight="1">
      <c r="A148" s="21"/>
      <c r="B148" s="18" t="s">
        <v>143</v>
      </c>
      <c r="C148" s="18" t="s">
        <v>143</v>
      </c>
      <c r="D148" s="18" t="s">
        <v>143</v>
      </c>
      <c r="E148" s="18" t="s">
        <v>143</v>
      </c>
      <c r="F148" s="18" t="s">
        <v>143</v>
      </c>
      <c r="G148" s="19">
        <v>500000</v>
      </c>
      <c r="H148" s="19"/>
      <c r="I148" s="15"/>
      <c r="J148" s="15">
        <f t="shared" si="0"/>
        <v>155988950</v>
      </c>
      <c r="K148" s="16"/>
      <c r="L148">
        <f t="shared" si="3"/>
        <v>155988950</v>
      </c>
    </row>
    <row r="149" spans="1:12" ht="15" customHeight="1">
      <c r="A149" s="21"/>
      <c r="B149" s="18" t="s">
        <v>144</v>
      </c>
      <c r="C149" s="18" t="s">
        <v>144</v>
      </c>
      <c r="D149" s="18" t="s">
        <v>144</v>
      </c>
      <c r="E149" s="18" t="s">
        <v>144</v>
      </c>
      <c r="F149" s="18" t="s">
        <v>144</v>
      </c>
      <c r="G149" s="19">
        <v>50000</v>
      </c>
      <c r="H149" s="19"/>
      <c r="I149" s="15"/>
      <c r="J149" s="15">
        <f t="shared" si="0"/>
        <v>156038950</v>
      </c>
      <c r="K149" s="16"/>
      <c r="L149">
        <f t="shared" si="3"/>
        <v>156038950</v>
      </c>
    </row>
    <row r="150" spans="1:12" ht="15" customHeight="1">
      <c r="A150" s="21"/>
      <c r="B150" s="18" t="s">
        <v>145</v>
      </c>
      <c r="C150" s="18" t="s">
        <v>145</v>
      </c>
      <c r="D150" s="18" t="s">
        <v>145</v>
      </c>
      <c r="E150" s="18" t="s">
        <v>145</v>
      </c>
      <c r="F150" s="18" t="s">
        <v>145</v>
      </c>
      <c r="G150" s="19">
        <v>50000</v>
      </c>
      <c r="H150" s="19"/>
      <c r="I150" s="15"/>
      <c r="J150" s="15">
        <f t="shared" si="0"/>
        <v>156088950</v>
      </c>
      <c r="K150" s="16"/>
      <c r="L150">
        <f t="shared" si="3"/>
        <v>156088950</v>
      </c>
    </row>
    <row r="151" spans="1:12" ht="15" customHeight="1">
      <c r="A151" s="21"/>
      <c r="B151" s="18" t="s">
        <v>146</v>
      </c>
      <c r="C151" s="18" t="s">
        <v>146</v>
      </c>
      <c r="D151" s="18" t="s">
        <v>146</v>
      </c>
      <c r="E151" s="18" t="s">
        <v>146</v>
      </c>
      <c r="F151" s="18" t="s">
        <v>146</v>
      </c>
      <c r="G151" s="19">
        <v>50000</v>
      </c>
      <c r="H151" s="19"/>
      <c r="I151" s="15"/>
      <c r="J151" s="15">
        <f t="shared" si="0"/>
        <v>156138950</v>
      </c>
      <c r="K151" s="16"/>
      <c r="L151">
        <f t="shared" si="3"/>
        <v>156138950</v>
      </c>
    </row>
    <row r="152" spans="1:12" ht="15" customHeight="1">
      <c r="A152" s="21"/>
      <c r="B152" s="18" t="s">
        <v>147</v>
      </c>
      <c r="C152" s="18" t="s">
        <v>147</v>
      </c>
      <c r="D152" s="18" t="s">
        <v>147</v>
      </c>
      <c r="E152" s="18" t="s">
        <v>147</v>
      </c>
      <c r="F152" s="18" t="s">
        <v>147</v>
      </c>
      <c r="G152" s="19">
        <v>250000</v>
      </c>
      <c r="H152" s="19"/>
      <c r="I152" s="15"/>
      <c r="J152" s="15">
        <f t="shared" si="0"/>
        <v>156388950</v>
      </c>
      <c r="K152" s="16"/>
      <c r="L152">
        <f t="shared" si="3"/>
        <v>156388950</v>
      </c>
    </row>
    <row r="153" spans="1:12" ht="15" customHeight="1">
      <c r="A153" s="21"/>
      <c r="B153" s="18" t="s">
        <v>148</v>
      </c>
      <c r="C153" s="18" t="s">
        <v>148</v>
      </c>
      <c r="D153" s="18" t="s">
        <v>148</v>
      </c>
      <c r="E153" s="18" t="s">
        <v>148</v>
      </c>
      <c r="F153" s="18" t="s">
        <v>148</v>
      </c>
      <c r="G153" s="19">
        <v>100000</v>
      </c>
      <c r="H153" s="19"/>
      <c r="I153" s="15"/>
      <c r="J153" s="15">
        <f t="shared" si="0"/>
        <v>156488950</v>
      </c>
      <c r="K153" s="16"/>
      <c r="L153">
        <f t="shared" si="3"/>
        <v>156488950</v>
      </c>
    </row>
    <row r="154" spans="1:12" ht="15" customHeight="1">
      <c r="A154" s="21"/>
      <c r="B154" s="18" t="s">
        <v>149</v>
      </c>
      <c r="C154" s="18" t="s">
        <v>149</v>
      </c>
      <c r="D154" s="18" t="s">
        <v>149</v>
      </c>
      <c r="E154" s="18" t="s">
        <v>149</v>
      </c>
      <c r="F154" s="18" t="s">
        <v>149</v>
      </c>
      <c r="G154" s="19">
        <v>200000</v>
      </c>
      <c r="H154" s="19"/>
      <c r="I154" s="15"/>
      <c r="J154" s="15">
        <f t="shared" si="0"/>
        <v>156688950</v>
      </c>
      <c r="K154" s="16"/>
      <c r="L154">
        <f t="shared" si="3"/>
        <v>156688950</v>
      </c>
    </row>
    <row r="155" spans="1:12" ht="15" customHeight="1">
      <c r="A155" s="21"/>
      <c r="B155" s="18" t="s">
        <v>150</v>
      </c>
      <c r="C155" s="18" t="s">
        <v>150</v>
      </c>
      <c r="D155" s="18" t="s">
        <v>150</v>
      </c>
      <c r="E155" s="18" t="s">
        <v>150</v>
      </c>
      <c r="F155" s="18" t="s">
        <v>150</v>
      </c>
      <c r="G155" s="19">
        <v>200000</v>
      </c>
      <c r="H155" s="19"/>
      <c r="I155" s="15"/>
      <c r="J155" s="15">
        <f t="shared" si="0"/>
        <v>156888950</v>
      </c>
      <c r="K155" s="16"/>
      <c r="L155">
        <f t="shared" si="3"/>
        <v>156888950</v>
      </c>
    </row>
    <row r="156" spans="1:12" ht="15" customHeight="1">
      <c r="A156" s="21"/>
      <c r="B156" s="18" t="s">
        <v>151</v>
      </c>
      <c r="C156" s="18" t="s">
        <v>151</v>
      </c>
      <c r="D156" s="18" t="s">
        <v>151</v>
      </c>
      <c r="E156" s="18" t="s">
        <v>151</v>
      </c>
      <c r="F156" s="18" t="s">
        <v>151</v>
      </c>
      <c r="G156" s="19">
        <v>50000</v>
      </c>
      <c r="H156" s="19"/>
      <c r="I156" s="15"/>
      <c r="J156" s="15">
        <f t="shared" si="0"/>
        <v>156938950</v>
      </c>
      <c r="K156" s="16"/>
      <c r="L156">
        <f t="shared" si="3"/>
        <v>156938950</v>
      </c>
    </row>
    <row r="157" spans="1:12" ht="15" customHeight="1">
      <c r="A157" s="21"/>
      <c r="B157" s="18" t="s">
        <v>152</v>
      </c>
      <c r="C157" s="18" t="s">
        <v>152</v>
      </c>
      <c r="D157" s="18" t="s">
        <v>152</v>
      </c>
      <c r="E157" s="18" t="s">
        <v>152</v>
      </c>
      <c r="F157" s="18" t="s">
        <v>152</v>
      </c>
      <c r="G157" s="19">
        <v>100000</v>
      </c>
      <c r="H157" s="19"/>
      <c r="I157" s="15"/>
      <c r="J157" s="15">
        <f t="shared" si="0"/>
        <v>157038950</v>
      </c>
      <c r="K157" s="16"/>
      <c r="L157">
        <f t="shared" si="3"/>
        <v>157038950</v>
      </c>
    </row>
    <row r="158" spans="1:12" ht="15" customHeight="1">
      <c r="A158" s="21"/>
      <c r="B158" s="18" t="s">
        <v>46</v>
      </c>
      <c r="C158" s="18" t="s">
        <v>46</v>
      </c>
      <c r="D158" s="18" t="s">
        <v>46</v>
      </c>
      <c r="E158" s="18" t="s">
        <v>46</v>
      </c>
      <c r="F158" s="18" t="s">
        <v>46</v>
      </c>
      <c r="G158" s="19"/>
      <c r="H158" s="19"/>
      <c r="I158" s="15"/>
      <c r="J158" s="15" t="str">
        <f t="shared" si="0"/>
        <v/>
      </c>
      <c r="K158" s="16"/>
      <c r="L158">
        <f t="shared" si="3"/>
        <v>157038950</v>
      </c>
    </row>
    <row r="159" spans="1:12" ht="15" customHeight="1">
      <c r="A159" s="21"/>
      <c r="B159" s="18" t="s">
        <v>153</v>
      </c>
      <c r="C159" s="18" t="s">
        <v>153</v>
      </c>
      <c r="D159" s="18" t="s">
        <v>153</v>
      </c>
      <c r="E159" s="18" t="s">
        <v>153</v>
      </c>
      <c r="F159" s="18" t="s">
        <v>153</v>
      </c>
      <c r="G159" s="19">
        <v>50000</v>
      </c>
      <c r="H159" s="19"/>
      <c r="I159" s="15"/>
      <c r="J159" s="15">
        <f t="shared" si="0"/>
        <v>157088950</v>
      </c>
      <c r="K159" s="16"/>
      <c r="L159">
        <f t="shared" si="3"/>
        <v>157088950</v>
      </c>
    </row>
    <row r="160" spans="1:12" ht="15" customHeight="1">
      <c r="A160" s="21"/>
      <c r="B160" s="18" t="s">
        <v>154</v>
      </c>
      <c r="C160" s="18" t="s">
        <v>154</v>
      </c>
      <c r="D160" s="18" t="s">
        <v>154</v>
      </c>
      <c r="E160" s="18" t="s">
        <v>154</v>
      </c>
      <c r="F160" s="18" t="s">
        <v>154</v>
      </c>
      <c r="G160" s="19">
        <v>200000</v>
      </c>
      <c r="H160" s="19"/>
      <c r="I160" s="15"/>
      <c r="J160" s="15">
        <f t="shared" si="0"/>
        <v>157288950</v>
      </c>
      <c r="K160" s="16"/>
      <c r="L160">
        <f t="shared" si="3"/>
        <v>157288950</v>
      </c>
    </row>
    <row r="161" spans="1:12" ht="15" customHeight="1">
      <c r="A161" s="21"/>
      <c r="B161" s="18" t="s">
        <v>155</v>
      </c>
      <c r="C161" s="18" t="s">
        <v>155</v>
      </c>
      <c r="D161" s="18" t="s">
        <v>155</v>
      </c>
      <c r="E161" s="18" t="s">
        <v>155</v>
      </c>
      <c r="F161" s="18" t="s">
        <v>155</v>
      </c>
      <c r="G161" s="19">
        <v>500000</v>
      </c>
      <c r="H161" s="19"/>
      <c r="I161" s="15"/>
      <c r="J161" s="15">
        <f t="shared" si="0"/>
        <v>157788950</v>
      </c>
      <c r="K161" s="16"/>
      <c r="L161">
        <f t="shared" si="3"/>
        <v>157788950</v>
      </c>
    </row>
    <row r="162" spans="1:12" ht="15" customHeight="1">
      <c r="A162" s="21"/>
      <c r="B162" s="18" t="s">
        <v>156</v>
      </c>
      <c r="C162" s="18" t="s">
        <v>156</v>
      </c>
      <c r="D162" s="18" t="s">
        <v>156</v>
      </c>
      <c r="E162" s="18" t="s">
        <v>156</v>
      </c>
      <c r="F162" s="18" t="s">
        <v>156</v>
      </c>
      <c r="G162" s="19">
        <v>100000</v>
      </c>
      <c r="H162" s="19"/>
      <c r="I162" s="15"/>
      <c r="J162" s="15">
        <f t="shared" si="0"/>
        <v>157888950</v>
      </c>
      <c r="K162" s="16"/>
      <c r="L162">
        <f t="shared" si="3"/>
        <v>157888950</v>
      </c>
    </row>
    <row r="163" spans="1:12" ht="15" customHeight="1">
      <c r="A163" s="21"/>
      <c r="B163" s="18" t="s">
        <v>157</v>
      </c>
      <c r="C163" s="18" t="s">
        <v>157</v>
      </c>
      <c r="D163" s="18" t="s">
        <v>157</v>
      </c>
      <c r="E163" s="18" t="s">
        <v>157</v>
      </c>
      <c r="F163" s="18" t="s">
        <v>157</v>
      </c>
      <c r="G163" s="19">
        <v>250000</v>
      </c>
      <c r="H163" s="19"/>
      <c r="I163" s="15"/>
      <c r="J163" s="15">
        <f t="shared" si="0"/>
        <v>158138950</v>
      </c>
      <c r="K163" s="16"/>
      <c r="L163">
        <f t="shared" si="3"/>
        <v>158138950</v>
      </c>
    </row>
    <row r="164" spans="1:12" ht="15" customHeight="1">
      <c r="A164" s="21"/>
      <c r="B164" s="18" t="s">
        <v>158</v>
      </c>
      <c r="C164" s="18" t="s">
        <v>158</v>
      </c>
      <c r="D164" s="18" t="s">
        <v>158</v>
      </c>
      <c r="E164" s="18" t="s">
        <v>158</v>
      </c>
      <c r="F164" s="18" t="s">
        <v>158</v>
      </c>
      <c r="G164" s="19">
        <v>200000</v>
      </c>
      <c r="H164" s="19"/>
      <c r="I164" s="15"/>
      <c r="J164" s="15">
        <f t="shared" si="0"/>
        <v>158338950</v>
      </c>
      <c r="K164" s="16"/>
      <c r="L164">
        <f t="shared" si="3"/>
        <v>158338950</v>
      </c>
    </row>
    <row r="165" spans="1:12" ht="15" customHeight="1">
      <c r="A165" s="21"/>
      <c r="B165" s="18" t="s">
        <v>159</v>
      </c>
      <c r="C165" s="18" t="s">
        <v>159</v>
      </c>
      <c r="D165" s="18" t="s">
        <v>159</v>
      </c>
      <c r="E165" s="18" t="s">
        <v>159</v>
      </c>
      <c r="F165" s="18" t="s">
        <v>159</v>
      </c>
      <c r="G165" s="19">
        <v>100000</v>
      </c>
      <c r="H165" s="19"/>
      <c r="I165" s="15"/>
      <c r="J165" s="15">
        <f t="shared" si="0"/>
        <v>158438950</v>
      </c>
      <c r="K165" s="16"/>
      <c r="L165">
        <f t="shared" si="3"/>
        <v>158438950</v>
      </c>
    </row>
    <row r="166" spans="1:12" ht="15" customHeight="1">
      <c r="A166" s="21"/>
      <c r="B166" s="18" t="s">
        <v>160</v>
      </c>
      <c r="C166" s="18" t="s">
        <v>160</v>
      </c>
      <c r="D166" s="18" t="s">
        <v>160</v>
      </c>
      <c r="E166" s="18" t="s">
        <v>160</v>
      </c>
      <c r="F166" s="18" t="s">
        <v>160</v>
      </c>
      <c r="G166" s="19">
        <v>100000</v>
      </c>
      <c r="H166" s="19"/>
      <c r="I166" s="15"/>
      <c r="J166" s="15">
        <f t="shared" si="0"/>
        <v>158538950</v>
      </c>
      <c r="K166" s="16"/>
      <c r="L166">
        <f t="shared" si="3"/>
        <v>158538950</v>
      </c>
    </row>
    <row r="167" spans="1:12" ht="15" customHeight="1">
      <c r="A167" s="21"/>
      <c r="B167" s="18" t="s">
        <v>161</v>
      </c>
      <c r="C167" s="18" t="s">
        <v>161</v>
      </c>
      <c r="D167" s="18" t="s">
        <v>161</v>
      </c>
      <c r="E167" s="18" t="s">
        <v>161</v>
      </c>
      <c r="F167" s="18" t="s">
        <v>161</v>
      </c>
      <c r="G167" s="19"/>
      <c r="H167" s="19"/>
      <c r="I167" s="15"/>
      <c r="J167" s="15" t="str">
        <f t="shared" si="0"/>
        <v/>
      </c>
      <c r="K167" s="16"/>
      <c r="L167">
        <f t="shared" si="3"/>
        <v>158538950</v>
      </c>
    </row>
    <row r="168" spans="1:12" ht="15" customHeight="1">
      <c r="A168" s="21"/>
      <c r="B168" s="18" t="s">
        <v>162</v>
      </c>
      <c r="C168" s="18" t="s">
        <v>162</v>
      </c>
      <c r="D168" s="18" t="s">
        <v>162</v>
      </c>
      <c r="E168" s="18" t="s">
        <v>162</v>
      </c>
      <c r="F168" s="18" t="s">
        <v>162</v>
      </c>
      <c r="G168" s="19"/>
      <c r="H168" s="19"/>
      <c r="I168" s="15">
        <v>956</v>
      </c>
      <c r="J168" s="15">
        <f t="shared" si="0"/>
        <v>158537994</v>
      </c>
      <c r="K168" s="16"/>
      <c r="L168">
        <f t="shared" si="3"/>
        <v>158537994</v>
      </c>
    </row>
    <row r="169" spans="1:12" ht="15" customHeight="1">
      <c r="A169" s="21"/>
      <c r="B169" s="18" t="s">
        <v>163</v>
      </c>
      <c r="C169" s="18" t="s">
        <v>163</v>
      </c>
      <c r="D169" s="18" t="s">
        <v>163</v>
      </c>
      <c r="E169" s="18" t="s">
        <v>163</v>
      </c>
      <c r="F169" s="18" t="s">
        <v>163</v>
      </c>
      <c r="G169" s="19"/>
      <c r="H169" s="19"/>
      <c r="I169" s="15"/>
      <c r="J169" s="15" t="str">
        <f t="shared" si="0"/>
        <v/>
      </c>
      <c r="K169" s="16"/>
      <c r="L169">
        <f t="shared" si="3"/>
        <v>158537994</v>
      </c>
    </row>
    <row r="170" spans="1:12" ht="15" customHeight="1">
      <c r="A170" s="21"/>
      <c r="B170" s="18" t="s">
        <v>164</v>
      </c>
      <c r="C170" s="18" t="s">
        <v>164</v>
      </c>
      <c r="D170" s="18" t="s">
        <v>164</v>
      </c>
      <c r="E170" s="18" t="s">
        <v>164</v>
      </c>
      <c r="F170" s="18" t="s">
        <v>164</v>
      </c>
      <c r="G170" s="19"/>
      <c r="H170" s="19"/>
      <c r="I170" s="15">
        <v>20000</v>
      </c>
      <c r="J170" s="15">
        <f t="shared" si="0"/>
        <v>158517994</v>
      </c>
      <c r="K170" s="16"/>
      <c r="L170">
        <f t="shared" si="3"/>
        <v>158517994</v>
      </c>
    </row>
    <row r="171" spans="1:12" ht="15" customHeight="1">
      <c r="A171" s="21"/>
      <c r="B171" s="18" t="s">
        <v>165</v>
      </c>
      <c r="C171" s="18" t="s">
        <v>165</v>
      </c>
      <c r="D171" s="18" t="s">
        <v>165</v>
      </c>
      <c r="E171" s="18" t="s">
        <v>165</v>
      </c>
      <c r="F171" s="18" t="s">
        <v>165</v>
      </c>
      <c r="G171" s="19"/>
      <c r="H171" s="19"/>
      <c r="I171" s="15"/>
      <c r="J171" s="15" t="str">
        <f t="shared" si="0"/>
        <v/>
      </c>
      <c r="K171" s="16"/>
      <c r="L171">
        <f t="shared" si="3"/>
        <v>158517994</v>
      </c>
    </row>
    <row r="172" spans="1:12" ht="15" customHeight="1">
      <c r="A172" s="21"/>
      <c r="B172" s="18" t="s">
        <v>166</v>
      </c>
      <c r="C172" s="18" t="s">
        <v>166</v>
      </c>
      <c r="D172" s="18" t="s">
        <v>166</v>
      </c>
      <c r="E172" s="18" t="s">
        <v>166</v>
      </c>
      <c r="F172" s="18" t="s">
        <v>166</v>
      </c>
      <c r="G172" s="19"/>
      <c r="H172" s="19"/>
      <c r="I172" s="15">
        <v>30000</v>
      </c>
      <c r="J172" s="15">
        <f t="shared" si="0"/>
        <v>158487994</v>
      </c>
      <c r="K172" s="16"/>
      <c r="L172">
        <f t="shared" si="3"/>
        <v>158487994</v>
      </c>
    </row>
    <row r="173" spans="1:12" ht="15" customHeight="1">
      <c r="A173" s="21"/>
      <c r="B173" s="18" t="s">
        <v>167</v>
      </c>
      <c r="C173" s="18" t="s">
        <v>167</v>
      </c>
      <c r="D173" s="18" t="s">
        <v>167</v>
      </c>
      <c r="E173" s="18" t="s">
        <v>167</v>
      </c>
      <c r="F173" s="18" t="s">
        <v>167</v>
      </c>
      <c r="G173" s="19"/>
      <c r="H173" s="19"/>
      <c r="I173" s="15"/>
      <c r="J173" s="15" t="str">
        <f t="shared" si="0"/>
        <v/>
      </c>
      <c r="K173" s="16"/>
      <c r="L173">
        <f t="shared" si="3"/>
        <v>158487994</v>
      </c>
    </row>
    <row r="174" spans="1:12" ht="15" customHeight="1">
      <c r="A174" s="21"/>
      <c r="B174" s="18" t="s">
        <v>168</v>
      </c>
      <c r="C174" s="18" t="s">
        <v>168</v>
      </c>
      <c r="D174" s="18" t="s">
        <v>168</v>
      </c>
      <c r="E174" s="18" t="s">
        <v>168</v>
      </c>
      <c r="F174" s="18" t="s">
        <v>168</v>
      </c>
      <c r="G174" s="19"/>
      <c r="H174" s="19"/>
      <c r="I174" s="15">
        <v>40000</v>
      </c>
      <c r="J174" s="15">
        <f t="shared" si="0"/>
        <v>158447994</v>
      </c>
      <c r="K174" s="16"/>
      <c r="L174">
        <f t="shared" si="3"/>
        <v>158447994</v>
      </c>
    </row>
    <row r="175" spans="1:12" ht="15" customHeight="1">
      <c r="A175" s="21"/>
      <c r="B175" s="18" t="s">
        <v>169</v>
      </c>
      <c r="C175" s="18" t="s">
        <v>169</v>
      </c>
      <c r="D175" s="18" t="s">
        <v>169</v>
      </c>
      <c r="E175" s="18" t="s">
        <v>169</v>
      </c>
      <c r="F175" s="18" t="s">
        <v>169</v>
      </c>
      <c r="G175" s="19"/>
      <c r="H175" s="19"/>
      <c r="I175" s="15">
        <v>45000</v>
      </c>
      <c r="J175" s="15">
        <f t="shared" ref="J175:J238" si="4">IF(AND(G175="",I175=""),"",L174+VALUE(G175)-VALUE(I175))</f>
        <v>158402994</v>
      </c>
      <c r="K175" s="16"/>
      <c r="L175">
        <f t="shared" si="3"/>
        <v>158402994</v>
      </c>
    </row>
    <row r="176" spans="1:12" ht="15" customHeight="1">
      <c r="A176" s="21"/>
      <c r="B176" s="18" t="s">
        <v>170</v>
      </c>
      <c r="C176" s="18" t="s">
        <v>170</v>
      </c>
      <c r="D176" s="18" t="s">
        <v>170</v>
      </c>
      <c r="E176" s="18" t="s">
        <v>170</v>
      </c>
      <c r="F176" s="18" t="s">
        <v>170</v>
      </c>
      <c r="G176" s="19"/>
      <c r="H176" s="19"/>
      <c r="I176" s="15"/>
      <c r="J176" s="15" t="str">
        <f t="shared" si="4"/>
        <v/>
      </c>
      <c r="K176" s="16"/>
      <c r="L176">
        <f t="shared" si="3"/>
        <v>158402994</v>
      </c>
    </row>
    <row r="177" spans="1:12" ht="15" customHeight="1">
      <c r="A177" s="21"/>
      <c r="B177" s="18" t="s">
        <v>171</v>
      </c>
      <c r="C177" s="18" t="s">
        <v>171</v>
      </c>
      <c r="D177" s="18" t="s">
        <v>171</v>
      </c>
      <c r="E177" s="18" t="s">
        <v>171</v>
      </c>
      <c r="F177" s="18" t="s">
        <v>171</v>
      </c>
      <c r="G177" s="19"/>
      <c r="H177" s="19"/>
      <c r="I177" s="15">
        <v>95000</v>
      </c>
      <c r="J177" s="15">
        <f t="shared" si="4"/>
        <v>158307994</v>
      </c>
      <c r="K177" s="16"/>
      <c r="L177">
        <f t="shared" si="3"/>
        <v>158307994</v>
      </c>
    </row>
    <row r="178" spans="1:12" ht="15" customHeight="1">
      <c r="A178" s="21"/>
      <c r="B178" s="18" t="s">
        <v>172</v>
      </c>
      <c r="C178" s="18" t="s">
        <v>172</v>
      </c>
      <c r="D178" s="18" t="s">
        <v>172</v>
      </c>
      <c r="E178" s="18" t="s">
        <v>172</v>
      </c>
      <c r="F178" s="18" t="s">
        <v>172</v>
      </c>
      <c r="G178" s="19"/>
      <c r="H178" s="19"/>
      <c r="I178" s="15"/>
      <c r="J178" s="15" t="str">
        <f t="shared" si="4"/>
        <v/>
      </c>
      <c r="K178" s="16"/>
      <c r="L178">
        <f t="shared" si="3"/>
        <v>158307994</v>
      </c>
    </row>
    <row r="179" spans="1:12" ht="15" customHeight="1">
      <c r="A179" s="21"/>
      <c r="B179" s="18" t="s">
        <v>173</v>
      </c>
      <c r="C179" s="18" t="s">
        <v>173</v>
      </c>
      <c r="D179" s="18" t="s">
        <v>173</v>
      </c>
      <c r="E179" s="18" t="s">
        <v>173</v>
      </c>
      <c r="F179" s="18" t="s">
        <v>173</v>
      </c>
      <c r="G179" s="19"/>
      <c r="H179" s="19"/>
      <c r="I179" s="15">
        <v>96000</v>
      </c>
      <c r="J179" s="15">
        <f t="shared" si="4"/>
        <v>158211994</v>
      </c>
      <c r="K179" s="16"/>
      <c r="L179">
        <f t="shared" si="3"/>
        <v>158211994</v>
      </c>
    </row>
    <row r="180" spans="1:12" ht="15" customHeight="1">
      <c r="A180" s="21"/>
      <c r="B180" s="18" t="s">
        <v>174</v>
      </c>
      <c r="C180" s="18" t="s">
        <v>174</v>
      </c>
      <c r="D180" s="18" t="s">
        <v>174</v>
      </c>
      <c r="E180" s="18" t="s">
        <v>174</v>
      </c>
      <c r="F180" s="18" t="s">
        <v>174</v>
      </c>
      <c r="G180" s="19"/>
      <c r="H180" s="19"/>
      <c r="I180" s="15"/>
      <c r="J180" s="15" t="str">
        <f t="shared" si="4"/>
        <v/>
      </c>
      <c r="K180" s="16"/>
      <c r="L180">
        <f t="shared" si="3"/>
        <v>158211994</v>
      </c>
    </row>
    <row r="181" spans="1:12" ht="15" customHeight="1">
      <c r="A181" s="21"/>
      <c r="B181" s="18" t="s">
        <v>175</v>
      </c>
      <c r="C181" s="18" t="s">
        <v>175</v>
      </c>
      <c r="D181" s="18" t="s">
        <v>175</v>
      </c>
      <c r="E181" s="18" t="s">
        <v>175</v>
      </c>
      <c r="F181" s="18" t="s">
        <v>175</v>
      </c>
      <c r="G181" s="19"/>
      <c r="H181" s="19"/>
      <c r="I181" s="15">
        <v>100000</v>
      </c>
      <c r="J181" s="15">
        <f t="shared" si="4"/>
        <v>158111994</v>
      </c>
      <c r="K181" s="16"/>
      <c r="L181">
        <f t="shared" si="3"/>
        <v>158111994</v>
      </c>
    </row>
    <row r="182" spans="1:12" ht="15" customHeight="1">
      <c r="A182" s="21"/>
      <c r="B182" s="18" t="s">
        <v>176</v>
      </c>
      <c r="C182" s="18" t="s">
        <v>176</v>
      </c>
      <c r="D182" s="18" t="s">
        <v>176</v>
      </c>
      <c r="E182" s="18" t="s">
        <v>176</v>
      </c>
      <c r="F182" s="18" t="s">
        <v>176</v>
      </c>
      <c r="G182" s="19"/>
      <c r="H182" s="19"/>
      <c r="I182" s="15"/>
      <c r="J182" s="15" t="str">
        <f t="shared" si="4"/>
        <v/>
      </c>
      <c r="K182" s="16"/>
      <c r="L182">
        <f t="shared" si="3"/>
        <v>158111994</v>
      </c>
    </row>
    <row r="183" spans="1:12" ht="15" customHeight="1">
      <c r="A183" s="21"/>
      <c r="B183" s="18" t="s">
        <v>177</v>
      </c>
      <c r="C183" s="18" t="s">
        <v>177</v>
      </c>
      <c r="D183" s="18" t="s">
        <v>177</v>
      </c>
      <c r="E183" s="18" t="s">
        <v>177</v>
      </c>
      <c r="F183" s="18" t="s">
        <v>177</v>
      </c>
      <c r="G183" s="19"/>
      <c r="H183" s="19"/>
      <c r="I183" s="15">
        <v>140600</v>
      </c>
      <c r="J183" s="15">
        <f t="shared" si="4"/>
        <v>157971394</v>
      </c>
      <c r="K183" s="16"/>
      <c r="L183">
        <f t="shared" si="3"/>
        <v>157971394</v>
      </c>
    </row>
    <row r="184" spans="1:12" ht="15" customHeight="1">
      <c r="A184" s="21"/>
      <c r="B184" s="18" t="s">
        <v>178</v>
      </c>
      <c r="C184" s="18" t="s">
        <v>178</v>
      </c>
      <c r="D184" s="18" t="s">
        <v>178</v>
      </c>
      <c r="E184" s="18" t="s">
        <v>178</v>
      </c>
      <c r="F184" s="18" t="s">
        <v>178</v>
      </c>
      <c r="G184" s="19"/>
      <c r="H184" s="19"/>
      <c r="I184" s="15"/>
      <c r="J184" s="15" t="str">
        <f t="shared" si="4"/>
        <v/>
      </c>
      <c r="K184" s="16"/>
      <c r="L184">
        <f t="shared" si="3"/>
        <v>157971394</v>
      </c>
    </row>
    <row r="185" spans="1:12" ht="15" customHeight="1">
      <c r="A185" s="21"/>
      <c r="B185" s="18" t="s">
        <v>179</v>
      </c>
      <c r="C185" s="18" t="s">
        <v>179</v>
      </c>
      <c r="D185" s="18" t="s">
        <v>179</v>
      </c>
      <c r="E185" s="18" t="s">
        <v>179</v>
      </c>
      <c r="F185" s="18" t="s">
        <v>179</v>
      </c>
      <c r="G185" s="19"/>
      <c r="H185" s="19"/>
      <c r="I185" s="15">
        <v>150000</v>
      </c>
      <c r="J185" s="15">
        <f t="shared" si="4"/>
        <v>157821394</v>
      </c>
      <c r="K185" s="16"/>
      <c r="L185">
        <f t="shared" si="3"/>
        <v>157821394</v>
      </c>
    </row>
    <row r="186" spans="1:12" ht="15" customHeight="1">
      <c r="A186" s="21"/>
      <c r="B186" s="18" t="s">
        <v>180</v>
      </c>
      <c r="C186" s="18" t="s">
        <v>180</v>
      </c>
      <c r="D186" s="18" t="s">
        <v>180</v>
      </c>
      <c r="E186" s="18" t="s">
        <v>180</v>
      </c>
      <c r="F186" s="18" t="s">
        <v>180</v>
      </c>
      <c r="G186" s="19"/>
      <c r="H186" s="19"/>
      <c r="I186" s="15"/>
      <c r="J186" s="15" t="str">
        <f t="shared" si="4"/>
        <v/>
      </c>
      <c r="K186" s="16"/>
      <c r="L186">
        <f t="shared" si="3"/>
        <v>157821394</v>
      </c>
    </row>
    <row r="187" spans="1:12" ht="15" customHeight="1">
      <c r="A187" s="21"/>
      <c r="B187" s="18" t="s">
        <v>181</v>
      </c>
      <c r="C187" s="18" t="s">
        <v>181</v>
      </c>
      <c r="D187" s="18" t="s">
        <v>181</v>
      </c>
      <c r="E187" s="18" t="s">
        <v>181</v>
      </c>
      <c r="F187" s="18" t="s">
        <v>181</v>
      </c>
      <c r="G187" s="19"/>
      <c r="H187" s="19"/>
      <c r="I187" s="15">
        <v>171000</v>
      </c>
      <c r="J187" s="15">
        <f t="shared" si="4"/>
        <v>157650394</v>
      </c>
      <c r="K187" s="16"/>
      <c r="L187">
        <f t="shared" si="3"/>
        <v>157650394</v>
      </c>
    </row>
    <row r="188" spans="1:12" ht="15" customHeight="1">
      <c r="A188" s="21"/>
      <c r="B188" s="18" t="s">
        <v>182</v>
      </c>
      <c r="C188" s="18" t="s">
        <v>182</v>
      </c>
      <c r="D188" s="18" t="s">
        <v>182</v>
      </c>
      <c r="E188" s="18" t="s">
        <v>182</v>
      </c>
      <c r="F188" s="18" t="s">
        <v>182</v>
      </c>
      <c r="G188" s="19"/>
      <c r="H188" s="19"/>
      <c r="I188" s="15"/>
      <c r="J188" s="15" t="str">
        <f t="shared" si="4"/>
        <v/>
      </c>
      <c r="K188" s="16"/>
      <c r="L188">
        <f t="shared" si="3"/>
        <v>157650394</v>
      </c>
    </row>
    <row r="189" spans="1:12" ht="15" customHeight="1">
      <c r="A189" s="21"/>
      <c r="B189" s="18" t="s">
        <v>183</v>
      </c>
      <c r="C189" s="18" t="s">
        <v>183</v>
      </c>
      <c r="D189" s="18" t="s">
        <v>183</v>
      </c>
      <c r="E189" s="18" t="s">
        <v>183</v>
      </c>
      <c r="F189" s="18" t="s">
        <v>183</v>
      </c>
      <c r="G189" s="19"/>
      <c r="H189" s="19"/>
      <c r="I189" s="15">
        <v>196500</v>
      </c>
      <c r="J189" s="15">
        <f t="shared" si="4"/>
        <v>157453894</v>
      </c>
      <c r="K189" s="16"/>
      <c r="L189">
        <f t="shared" si="3"/>
        <v>157453894</v>
      </c>
    </row>
    <row r="190" spans="1:12" ht="15" customHeight="1">
      <c r="A190" s="21"/>
      <c r="B190" s="18" t="s">
        <v>184</v>
      </c>
      <c r="C190" s="18" t="s">
        <v>184</v>
      </c>
      <c r="D190" s="18" t="s">
        <v>184</v>
      </c>
      <c r="E190" s="18" t="s">
        <v>184</v>
      </c>
      <c r="F190" s="18" t="s">
        <v>184</v>
      </c>
      <c r="G190" s="19"/>
      <c r="H190" s="19"/>
      <c r="I190" s="15"/>
      <c r="J190" s="15" t="str">
        <f t="shared" si="4"/>
        <v/>
      </c>
      <c r="K190" s="16"/>
      <c r="L190">
        <f t="shared" si="3"/>
        <v>157453894</v>
      </c>
    </row>
    <row r="191" spans="1:12" ht="15" customHeight="1">
      <c r="A191" s="21"/>
      <c r="B191" s="18" t="s">
        <v>185</v>
      </c>
      <c r="C191" s="18" t="s">
        <v>185</v>
      </c>
      <c r="D191" s="18" t="s">
        <v>185</v>
      </c>
      <c r="E191" s="18" t="s">
        <v>185</v>
      </c>
      <c r="F191" s="18" t="s">
        <v>185</v>
      </c>
      <c r="G191" s="19"/>
      <c r="H191" s="19"/>
      <c r="I191" s="15">
        <v>200000</v>
      </c>
      <c r="J191" s="15">
        <f t="shared" si="4"/>
        <v>157253894</v>
      </c>
      <c r="K191" s="16"/>
      <c r="L191">
        <f t="shared" si="3"/>
        <v>157253894</v>
      </c>
    </row>
    <row r="192" spans="1:12" ht="15" customHeight="1">
      <c r="A192" s="21"/>
      <c r="B192" s="18" t="s">
        <v>186</v>
      </c>
      <c r="C192" s="18" t="s">
        <v>186</v>
      </c>
      <c r="D192" s="18" t="s">
        <v>186</v>
      </c>
      <c r="E192" s="18" t="s">
        <v>186</v>
      </c>
      <c r="F192" s="18" t="s">
        <v>186</v>
      </c>
      <c r="G192" s="19"/>
      <c r="H192" s="19"/>
      <c r="I192" s="15"/>
      <c r="J192" s="15" t="str">
        <f t="shared" si="4"/>
        <v/>
      </c>
      <c r="K192" s="16"/>
      <c r="L192">
        <f t="shared" si="3"/>
        <v>157253894</v>
      </c>
    </row>
    <row r="193" spans="1:12" ht="15" customHeight="1">
      <c r="A193" s="21"/>
      <c r="B193" s="18" t="s">
        <v>187</v>
      </c>
      <c r="C193" s="18" t="s">
        <v>187</v>
      </c>
      <c r="D193" s="18" t="s">
        <v>187</v>
      </c>
      <c r="E193" s="18" t="s">
        <v>187</v>
      </c>
      <c r="F193" s="18" t="s">
        <v>187</v>
      </c>
      <c r="G193" s="19"/>
      <c r="H193" s="19"/>
      <c r="I193" s="15">
        <v>250000</v>
      </c>
      <c r="J193" s="15">
        <f t="shared" si="4"/>
        <v>157003894</v>
      </c>
      <c r="K193" s="16"/>
      <c r="L193">
        <f t="shared" si="3"/>
        <v>157003894</v>
      </c>
    </row>
    <row r="194" spans="1:12" ht="15" customHeight="1">
      <c r="A194" s="21"/>
      <c r="B194" s="18" t="s">
        <v>188</v>
      </c>
      <c r="C194" s="18" t="s">
        <v>188</v>
      </c>
      <c r="D194" s="18" t="s">
        <v>188</v>
      </c>
      <c r="E194" s="18" t="s">
        <v>188</v>
      </c>
      <c r="F194" s="18" t="s">
        <v>188</v>
      </c>
      <c r="G194" s="19"/>
      <c r="H194" s="19"/>
      <c r="I194" s="15"/>
      <c r="J194" s="15" t="str">
        <f t="shared" si="4"/>
        <v/>
      </c>
      <c r="K194" s="16"/>
      <c r="L194">
        <f t="shared" si="3"/>
        <v>157003894</v>
      </c>
    </row>
    <row r="195" spans="1:12" ht="15" customHeight="1">
      <c r="A195" s="21"/>
      <c r="B195" s="18" t="s">
        <v>189</v>
      </c>
      <c r="C195" s="18" t="s">
        <v>189</v>
      </c>
      <c r="D195" s="18" t="s">
        <v>189</v>
      </c>
      <c r="E195" s="18" t="s">
        <v>189</v>
      </c>
      <c r="F195" s="18" t="s">
        <v>189</v>
      </c>
      <c r="G195" s="19"/>
      <c r="H195" s="19"/>
      <c r="I195" s="15">
        <v>250000</v>
      </c>
      <c r="J195" s="15">
        <f t="shared" si="4"/>
        <v>156753894</v>
      </c>
      <c r="K195" s="16"/>
      <c r="L195">
        <f t="shared" si="3"/>
        <v>156753894</v>
      </c>
    </row>
    <row r="196" spans="1:12" ht="15" customHeight="1">
      <c r="A196" s="21"/>
      <c r="B196" s="18" t="s">
        <v>190</v>
      </c>
      <c r="C196" s="18" t="s">
        <v>190</v>
      </c>
      <c r="D196" s="18" t="s">
        <v>190</v>
      </c>
      <c r="E196" s="18" t="s">
        <v>190</v>
      </c>
      <c r="F196" s="18" t="s">
        <v>190</v>
      </c>
      <c r="G196" s="19"/>
      <c r="H196" s="19"/>
      <c r="I196" s="15"/>
      <c r="J196" s="15" t="str">
        <f t="shared" si="4"/>
        <v/>
      </c>
      <c r="K196" s="16"/>
      <c r="L196">
        <f t="shared" si="3"/>
        <v>156753894</v>
      </c>
    </row>
    <row r="197" spans="1:12" ht="15" customHeight="1">
      <c r="A197" s="21"/>
      <c r="B197" s="18" t="s">
        <v>191</v>
      </c>
      <c r="C197" s="18" t="s">
        <v>191</v>
      </c>
      <c r="D197" s="18" t="s">
        <v>191</v>
      </c>
      <c r="E197" s="18" t="s">
        <v>191</v>
      </c>
      <c r="F197" s="18" t="s">
        <v>191</v>
      </c>
      <c r="G197" s="19"/>
      <c r="H197" s="19"/>
      <c r="I197" s="15">
        <v>300000</v>
      </c>
      <c r="J197" s="15">
        <f t="shared" si="4"/>
        <v>156453894</v>
      </c>
      <c r="K197" s="16"/>
      <c r="L197">
        <f t="shared" ref="L197:L260" si="5">IF(J197="",L196,J197)</f>
        <v>156453894</v>
      </c>
    </row>
    <row r="198" spans="1:12" ht="15" customHeight="1">
      <c r="A198" s="21"/>
      <c r="B198" s="18" t="s">
        <v>192</v>
      </c>
      <c r="C198" s="18" t="s">
        <v>192</v>
      </c>
      <c r="D198" s="18" t="s">
        <v>192</v>
      </c>
      <c r="E198" s="18" t="s">
        <v>192</v>
      </c>
      <c r="F198" s="18" t="s">
        <v>192</v>
      </c>
      <c r="G198" s="19"/>
      <c r="H198" s="19"/>
      <c r="I198" s="15"/>
      <c r="J198" s="15" t="str">
        <f t="shared" si="4"/>
        <v/>
      </c>
      <c r="K198" s="16"/>
      <c r="L198">
        <f t="shared" si="5"/>
        <v>156453894</v>
      </c>
    </row>
    <row r="199" spans="1:12" ht="15" customHeight="1">
      <c r="A199" s="21"/>
      <c r="B199" s="18" t="s">
        <v>193</v>
      </c>
      <c r="C199" s="18" t="s">
        <v>193</v>
      </c>
      <c r="D199" s="18" t="s">
        <v>193</v>
      </c>
      <c r="E199" s="18" t="s">
        <v>193</v>
      </c>
      <c r="F199" s="18" t="s">
        <v>193</v>
      </c>
      <c r="G199" s="19"/>
      <c r="H199" s="19"/>
      <c r="I199" s="15">
        <v>300000</v>
      </c>
      <c r="J199" s="15">
        <f t="shared" si="4"/>
        <v>156153894</v>
      </c>
      <c r="K199" s="16"/>
      <c r="L199">
        <f t="shared" si="5"/>
        <v>156153894</v>
      </c>
    </row>
    <row r="200" spans="1:12" ht="15" customHeight="1">
      <c r="A200" s="21"/>
      <c r="B200" s="18" t="s">
        <v>194</v>
      </c>
      <c r="C200" s="18" t="s">
        <v>194</v>
      </c>
      <c r="D200" s="18" t="s">
        <v>194</v>
      </c>
      <c r="E200" s="18" t="s">
        <v>194</v>
      </c>
      <c r="F200" s="18" t="s">
        <v>194</v>
      </c>
      <c r="G200" s="19"/>
      <c r="H200" s="19"/>
      <c r="I200" s="15"/>
      <c r="J200" s="15" t="str">
        <f t="shared" si="4"/>
        <v/>
      </c>
      <c r="K200" s="16"/>
      <c r="L200">
        <f t="shared" si="5"/>
        <v>156153894</v>
      </c>
    </row>
    <row r="201" spans="1:12" ht="15" customHeight="1">
      <c r="A201" s="21"/>
      <c r="B201" s="18" t="s">
        <v>195</v>
      </c>
      <c r="C201" s="18" t="s">
        <v>195</v>
      </c>
      <c r="D201" s="18" t="s">
        <v>195</v>
      </c>
      <c r="E201" s="18" t="s">
        <v>195</v>
      </c>
      <c r="F201" s="18" t="s">
        <v>195</v>
      </c>
      <c r="G201" s="19"/>
      <c r="H201" s="19"/>
      <c r="I201" s="15">
        <v>415000</v>
      </c>
      <c r="J201" s="15">
        <f t="shared" si="4"/>
        <v>155738894</v>
      </c>
      <c r="K201" s="16"/>
      <c r="L201">
        <f t="shared" si="5"/>
        <v>155738894</v>
      </c>
    </row>
    <row r="202" spans="1:12" ht="15" customHeight="1">
      <c r="A202" s="21"/>
      <c r="B202" s="18" t="s">
        <v>196</v>
      </c>
      <c r="C202" s="18" t="s">
        <v>196</v>
      </c>
      <c r="D202" s="18" t="s">
        <v>196</v>
      </c>
      <c r="E202" s="18" t="s">
        <v>196</v>
      </c>
      <c r="F202" s="18" t="s">
        <v>196</v>
      </c>
      <c r="G202" s="19"/>
      <c r="H202" s="19"/>
      <c r="I202" s="15"/>
      <c r="J202" s="15" t="str">
        <f t="shared" si="4"/>
        <v/>
      </c>
      <c r="K202" s="16"/>
      <c r="L202">
        <f t="shared" si="5"/>
        <v>155738894</v>
      </c>
    </row>
    <row r="203" spans="1:12" ht="15" customHeight="1">
      <c r="A203" s="21"/>
      <c r="B203" s="18" t="s">
        <v>197</v>
      </c>
      <c r="C203" s="18" t="s">
        <v>197</v>
      </c>
      <c r="D203" s="18" t="s">
        <v>197</v>
      </c>
      <c r="E203" s="18" t="s">
        <v>197</v>
      </c>
      <c r="F203" s="18" t="s">
        <v>197</v>
      </c>
      <c r="G203" s="19"/>
      <c r="H203" s="19"/>
      <c r="I203" s="15">
        <v>450000</v>
      </c>
      <c r="J203" s="15">
        <f t="shared" si="4"/>
        <v>155288894</v>
      </c>
      <c r="K203" s="16"/>
      <c r="L203">
        <f t="shared" si="5"/>
        <v>155288894</v>
      </c>
    </row>
    <row r="204" spans="1:12" ht="15" customHeight="1">
      <c r="A204" s="21"/>
      <c r="B204" s="18" t="s">
        <v>198</v>
      </c>
      <c r="C204" s="18" t="s">
        <v>198</v>
      </c>
      <c r="D204" s="18" t="s">
        <v>198</v>
      </c>
      <c r="E204" s="18" t="s">
        <v>198</v>
      </c>
      <c r="F204" s="18" t="s">
        <v>198</v>
      </c>
      <c r="G204" s="19"/>
      <c r="H204" s="19"/>
      <c r="I204" s="15"/>
      <c r="J204" s="15" t="str">
        <f t="shared" si="4"/>
        <v/>
      </c>
      <c r="K204" s="16"/>
      <c r="L204">
        <f t="shared" si="5"/>
        <v>155288894</v>
      </c>
    </row>
    <row r="205" spans="1:12" ht="15" customHeight="1">
      <c r="A205" s="21"/>
      <c r="B205" s="18" t="s">
        <v>199</v>
      </c>
      <c r="C205" s="18" t="s">
        <v>199</v>
      </c>
      <c r="D205" s="18" t="s">
        <v>199</v>
      </c>
      <c r="E205" s="18" t="s">
        <v>199</v>
      </c>
      <c r="F205" s="18" t="s">
        <v>199</v>
      </c>
      <c r="G205" s="19"/>
      <c r="H205" s="19"/>
      <c r="I205" s="15">
        <v>500000</v>
      </c>
      <c r="J205" s="15">
        <f t="shared" si="4"/>
        <v>154788894</v>
      </c>
      <c r="K205" s="16"/>
      <c r="L205">
        <f t="shared" si="5"/>
        <v>154788894</v>
      </c>
    </row>
    <row r="206" spans="1:12" ht="15" customHeight="1">
      <c r="A206" s="21"/>
      <c r="B206" s="18" t="s">
        <v>200</v>
      </c>
      <c r="C206" s="18" t="s">
        <v>200</v>
      </c>
      <c r="D206" s="18" t="s">
        <v>200</v>
      </c>
      <c r="E206" s="18" t="s">
        <v>200</v>
      </c>
      <c r="F206" s="18" t="s">
        <v>200</v>
      </c>
      <c r="G206" s="19"/>
      <c r="H206" s="19"/>
      <c r="I206" s="15"/>
      <c r="J206" s="15" t="str">
        <f t="shared" si="4"/>
        <v/>
      </c>
      <c r="K206" s="16"/>
      <c r="L206">
        <f t="shared" si="5"/>
        <v>154788894</v>
      </c>
    </row>
    <row r="207" spans="1:12" ht="15" customHeight="1">
      <c r="A207" s="21"/>
      <c r="B207" s="18" t="s">
        <v>201</v>
      </c>
      <c r="C207" s="18" t="s">
        <v>201</v>
      </c>
      <c r="D207" s="18" t="s">
        <v>201</v>
      </c>
      <c r="E207" s="18" t="s">
        <v>201</v>
      </c>
      <c r="F207" s="18" t="s">
        <v>201</v>
      </c>
      <c r="G207" s="19"/>
      <c r="H207" s="19"/>
      <c r="I207" s="15">
        <v>500000</v>
      </c>
      <c r="J207" s="15">
        <f t="shared" si="4"/>
        <v>154288894</v>
      </c>
      <c r="K207" s="16"/>
      <c r="L207">
        <f t="shared" si="5"/>
        <v>154288894</v>
      </c>
    </row>
    <row r="208" spans="1:12" ht="15" customHeight="1">
      <c r="A208" s="21"/>
      <c r="B208" s="18" t="s">
        <v>202</v>
      </c>
      <c r="C208" s="18" t="s">
        <v>202</v>
      </c>
      <c r="D208" s="18" t="s">
        <v>202</v>
      </c>
      <c r="E208" s="18" t="s">
        <v>202</v>
      </c>
      <c r="F208" s="18" t="s">
        <v>202</v>
      </c>
      <c r="G208" s="19"/>
      <c r="H208" s="19"/>
      <c r="I208" s="15"/>
      <c r="J208" s="15" t="str">
        <f t="shared" si="4"/>
        <v/>
      </c>
      <c r="K208" s="16"/>
      <c r="L208">
        <f t="shared" si="5"/>
        <v>154288894</v>
      </c>
    </row>
    <row r="209" spans="1:12" ht="15" customHeight="1">
      <c r="A209" s="21"/>
      <c r="B209" s="18" t="s">
        <v>203</v>
      </c>
      <c r="C209" s="18" t="s">
        <v>203</v>
      </c>
      <c r="D209" s="18" t="s">
        <v>203</v>
      </c>
      <c r="E209" s="18" t="s">
        <v>203</v>
      </c>
      <c r="F209" s="18" t="s">
        <v>203</v>
      </c>
      <c r="G209" s="19"/>
      <c r="H209" s="19"/>
      <c r="I209" s="15">
        <v>700000</v>
      </c>
      <c r="J209" s="15">
        <f t="shared" si="4"/>
        <v>153588894</v>
      </c>
      <c r="K209" s="16"/>
      <c r="L209">
        <f t="shared" si="5"/>
        <v>153588894</v>
      </c>
    </row>
    <row r="210" spans="1:12" ht="15" customHeight="1">
      <c r="A210" s="21"/>
      <c r="B210" s="18" t="s">
        <v>204</v>
      </c>
      <c r="C210" s="18" t="s">
        <v>204</v>
      </c>
      <c r="D210" s="18" t="s">
        <v>204</v>
      </c>
      <c r="E210" s="18" t="s">
        <v>204</v>
      </c>
      <c r="F210" s="18" t="s">
        <v>204</v>
      </c>
      <c r="G210" s="19"/>
      <c r="H210" s="19"/>
      <c r="I210" s="15"/>
      <c r="J210" s="15" t="str">
        <f t="shared" si="4"/>
        <v/>
      </c>
      <c r="K210" s="16"/>
      <c r="L210">
        <f t="shared" si="5"/>
        <v>153588894</v>
      </c>
    </row>
    <row r="211" spans="1:12" ht="15" customHeight="1">
      <c r="A211" s="21"/>
      <c r="B211" s="18" t="s">
        <v>205</v>
      </c>
      <c r="C211" s="18" t="s">
        <v>205</v>
      </c>
      <c r="D211" s="18" t="s">
        <v>205</v>
      </c>
      <c r="E211" s="18" t="s">
        <v>205</v>
      </c>
      <c r="F211" s="18" t="s">
        <v>205</v>
      </c>
      <c r="G211" s="19"/>
      <c r="H211" s="19"/>
      <c r="I211" s="15">
        <v>700000</v>
      </c>
      <c r="J211" s="15">
        <f t="shared" si="4"/>
        <v>152888894</v>
      </c>
      <c r="K211" s="16"/>
      <c r="L211">
        <f t="shared" si="5"/>
        <v>152888894</v>
      </c>
    </row>
    <row r="212" spans="1:12" ht="15" customHeight="1">
      <c r="A212" s="21"/>
      <c r="B212" s="18" t="s">
        <v>206</v>
      </c>
      <c r="C212" s="18" t="s">
        <v>206</v>
      </c>
      <c r="D212" s="18" t="s">
        <v>206</v>
      </c>
      <c r="E212" s="18" t="s">
        <v>206</v>
      </c>
      <c r="F212" s="18" t="s">
        <v>206</v>
      </c>
      <c r="G212" s="19"/>
      <c r="H212" s="19"/>
      <c r="I212" s="15"/>
      <c r="J212" s="15" t="str">
        <f t="shared" si="4"/>
        <v/>
      </c>
      <c r="K212" s="16"/>
      <c r="L212">
        <f t="shared" si="5"/>
        <v>152888894</v>
      </c>
    </row>
    <row r="213" spans="1:12" ht="15" customHeight="1">
      <c r="A213" s="21"/>
      <c r="B213" s="18" t="s">
        <v>207</v>
      </c>
      <c r="C213" s="18" t="s">
        <v>207</v>
      </c>
      <c r="D213" s="18" t="s">
        <v>207</v>
      </c>
      <c r="E213" s="18" t="s">
        <v>207</v>
      </c>
      <c r="F213" s="18" t="s">
        <v>207</v>
      </c>
      <c r="G213" s="19"/>
      <c r="H213" s="19"/>
      <c r="I213" s="15">
        <v>700000</v>
      </c>
      <c r="J213" s="15">
        <f t="shared" si="4"/>
        <v>152188894</v>
      </c>
      <c r="K213" s="16"/>
      <c r="L213">
        <f t="shared" si="5"/>
        <v>152188894</v>
      </c>
    </row>
    <row r="214" spans="1:12" ht="15" customHeight="1">
      <c r="A214" s="21"/>
      <c r="B214" s="18" t="s">
        <v>208</v>
      </c>
      <c r="C214" s="18" t="s">
        <v>208</v>
      </c>
      <c r="D214" s="18" t="s">
        <v>208</v>
      </c>
      <c r="E214" s="18" t="s">
        <v>208</v>
      </c>
      <c r="F214" s="18" t="s">
        <v>208</v>
      </c>
      <c r="G214" s="19"/>
      <c r="H214" s="19"/>
      <c r="I214" s="15"/>
      <c r="J214" s="15" t="str">
        <f t="shared" si="4"/>
        <v/>
      </c>
      <c r="K214" s="16"/>
      <c r="L214">
        <f t="shared" si="5"/>
        <v>152188894</v>
      </c>
    </row>
    <row r="215" spans="1:12" ht="15" customHeight="1">
      <c r="A215" s="21"/>
      <c r="B215" s="18" t="s">
        <v>209</v>
      </c>
      <c r="C215" s="18" t="s">
        <v>209</v>
      </c>
      <c r="D215" s="18" t="s">
        <v>209</v>
      </c>
      <c r="E215" s="18" t="s">
        <v>209</v>
      </c>
      <c r="F215" s="18" t="s">
        <v>209</v>
      </c>
      <c r="G215" s="19"/>
      <c r="H215" s="19"/>
      <c r="I215" s="15">
        <v>750000</v>
      </c>
      <c r="J215" s="15">
        <f t="shared" si="4"/>
        <v>151438894</v>
      </c>
      <c r="K215" s="16"/>
      <c r="L215">
        <f t="shared" si="5"/>
        <v>151438894</v>
      </c>
    </row>
    <row r="216" spans="1:12" ht="15" customHeight="1">
      <c r="A216" s="21"/>
      <c r="B216" s="18" t="s">
        <v>210</v>
      </c>
      <c r="C216" s="18" t="s">
        <v>210</v>
      </c>
      <c r="D216" s="18" t="s">
        <v>210</v>
      </c>
      <c r="E216" s="18" t="s">
        <v>210</v>
      </c>
      <c r="F216" s="18" t="s">
        <v>210</v>
      </c>
      <c r="G216" s="19"/>
      <c r="H216" s="19"/>
      <c r="I216" s="15"/>
      <c r="J216" s="15" t="str">
        <f t="shared" si="4"/>
        <v/>
      </c>
      <c r="K216" s="16"/>
      <c r="L216">
        <f t="shared" si="5"/>
        <v>151438894</v>
      </c>
    </row>
    <row r="217" spans="1:12" ht="15" customHeight="1">
      <c r="A217" s="21"/>
      <c r="B217" s="18" t="s">
        <v>211</v>
      </c>
      <c r="C217" s="18" t="s">
        <v>211</v>
      </c>
      <c r="D217" s="18" t="s">
        <v>211</v>
      </c>
      <c r="E217" s="18" t="s">
        <v>211</v>
      </c>
      <c r="F217" s="18" t="s">
        <v>211</v>
      </c>
      <c r="G217" s="19"/>
      <c r="H217" s="19"/>
      <c r="I217" s="15">
        <v>1000000</v>
      </c>
      <c r="J217" s="15">
        <f t="shared" si="4"/>
        <v>150438894</v>
      </c>
      <c r="K217" s="16"/>
      <c r="L217">
        <f t="shared" si="5"/>
        <v>150438894</v>
      </c>
    </row>
    <row r="218" spans="1:12" ht="15" customHeight="1">
      <c r="A218" s="21"/>
      <c r="B218" s="18" t="s">
        <v>212</v>
      </c>
      <c r="C218" s="18" t="s">
        <v>212</v>
      </c>
      <c r="D218" s="18" t="s">
        <v>212</v>
      </c>
      <c r="E218" s="18" t="s">
        <v>212</v>
      </c>
      <c r="F218" s="18" t="s">
        <v>212</v>
      </c>
      <c r="G218" s="19"/>
      <c r="H218" s="19"/>
      <c r="I218" s="15"/>
      <c r="J218" s="15" t="str">
        <f t="shared" si="4"/>
        <v/>
      </c>
      <c r="K218" s="16"/>
      <c r="L218">
        <f t="shared" si="5"/>
        <v>150438894</v>
      </c>
    </row>
    <row r="219" spans="1:12" ht="15" customHeight="1">
      <c r="A219" s="21"/>
      <c r="B219" s="18" t="s">
        <v>213</v>
      </c>
      <c r="C219" s="18" t="s">
        <v>213</v>
      </c>
      <c r="D219" s="18" t="s">
        <v>213</v>
      </c>
      <c r="E219" s="18" t="s">
        <v>213</v>
      </c>
      <c r="F219" s="18" t="s">
        <v>213</v>
      </c>
      <c r="G219" s="19"/>
      <c r="H219" s="19"/>
      <c r="I219" s="15">
        <v>500000</v>
      </c>
      <c r="J219" s="15">
        <f t="shared" si="4"/>
        <v>149938894</v>
      </c>
      <c r="K219" s="16"/>
      <c r="L219">
        <f t="shared" si="5"/>
        <v>149938894</v>
      </c>
    </row>
    <row r="220" spans="1:12" ht="15" customHeight="1">
      <c r="A220" s="21"/>
      <c r="B220" s="18" t="s">
        <v>214</v>
      </c>
      <c r="C220" s="18" t="s">
        <v>214</v>
      </c>
      <c r="D220" s="18" t="s">
        <v>214</v>
      </c>
      <c r="E220" s="18" t="s">
        <v>214</v>
      </c>
      <c r="F220" s="18" t="s">
        <v>214</v>
      </c>
      <c r="G220" s="19"/>
      <c r="H220" s="19"/>
      <c r="I220" s="15">
        <v>500000</v>
      </c>
      <c r="J220" s="15">
        <f t="shared" si="4"/>
        <v>149438894</v>
      </c>
      <c r="K220" s="16"/>
      <c r="L220">
        <f t="shared" si="5"/>
        <v>149438894</v>
      </c>
    </row>
    <row r="221" spans="1:12" ht="15" customHeight="1">
      <c r="A221" s="21"/>
      <c r="B221" s="18" t="s">
        <v>215</v>
      </c>
      <c r="C221" s="18" t="s">
        <v>215</v>
      </c>
      <c r="D221" s="18" t="s">
        <v>215</v>
      </c>
      <c r="E221" s="18" t="s">
        <v>215</v>
      </c>
      <c r="F221" s="18" t="s">
        <v>215</v>
      </c>
      <c r="G221" s="19"/>
      <c r="H221" s="19"/>
      <c r="I221" s="15"/>
      <c r="J221" s="15" t="str">
        <f t="shared" si="4"/>
        <v/>
      </c>
      <c r="K221" s="16"/>
      <c r="L221">
        <f t="shared" si="5"/>
        <v>149438894</v>
      </c>
    </row>
    <row r="222" spans="1:12" ht="15" customHeight="1">
      <c r="A222" s="21"/>
      <c r="B222" s="18" t="s">
        <v>216</v>
      </c>
      <c r="C222" s="18" t="s">
        <v>216</v>
      </c>
      <c r="D222" s="18" t="s">
        <v>216</v>
      </c>
      <c r="E222" s="18" t="s">
        <v>216</v>
      </c>
      <c r="F222" s="18" t="s">
        <v>216</v>
      </c>
      <c r="G222" s="19"/>
      <c r="H222" s="19"/>
      <c r="I222" s="15">
        <v>1325000</v>
      </c>
      <c r="J222" s="15">
        <f t="shared" si="4"/>
        <v>148113894</v>
      </c>
      <c r="K222" s="16"/>
      <c r="L222">
        <f t="shared" si="5"/>
        <v>148113894</v>
      </c>
    </row>
    <row r="223" spans="1:12" ht="15" customHeight="1">
      <c r="A223" s="21"/>
      <c r="B223" s="18" t="s">
        <v>217</v>
      </c>
      <c r="C223" s="18" t="s">
        <v>217</v>
      </c>
      <c r="D223" s="18" t="s">
        <v>217</v>
      </c>
      <c r="E223" s="18" t="s">
        <v>217</v>
      </c>
      <c r="F223" s="18" t="s">
        <v>217</v>
      </c>
      <c r="G223" s="19"/>
      <c r="H223" s="19"/>
      <c r="I223" s="15"/>
      <c r="J223" s="15" t="str">
        <f t="shared" si="4"/>
        <v/>
      </c>
      <c r="K223" s="16"/>
      <c r="L223">
        <f t="shared" si="5"/>
        <v>148113894</v>
      </c>
    </row>
    <row r="224" spans="1:12" ht="15" customHeight="1">
      <c r="A224" s="21"/>
      <c r="B224" s="18" t="s">
        <v>218</v>
      </c>
      <c r="C224" s="18" t="s">
        <v>218</v>
      </c>
      <c r="D224" s="18" t="s">
        <v>218</v>
      </c>
      <c r="E224" s="18" t="s">
        <v>218</v>
      </c>
      <c r="F224" s="18" t="s">
        <v>218</v>
      </c>
      <c r="G224" s="19"/>
      <c r="H224" s="19"/>
      <c r="I224" s="15">
        <v>1500000</v>
      </c>
      <c r="J224" s="15">
        <f t="shared" si="4"/>
        <v>146613894</v>
      </c>
      <c r="K224" s="16"/>
      <c r="L224">
        <f t="shared" si="5"/>
        <v>146613894</v>
      </c>
    </row>
    <row r="225" spans="1:12" ht="15" customHeight="1">
      <c r="A225" s="21"/>
      <c r="B225" s="18" t="s">
        <v>219</v>
      </c>
      <c r="C225" s="18" t="s">
        <v>219</v>
      </c>
      <c r="D225" s="18" t="s">
        <v>219</v>
      </c>
      <c r="E225" s="18" t="s">
        <v>219</v>
      </c>
      <c r="F225" s="18" t="s">
        <v>219</v>
      </c>
      <c r="G225" s="19"/>
      <c r="H225" s="19"/>
      <c r="I225" s="15"/>
      <c r="J225" s="15" t="str">
        <f t="shared" si="4"/>
        <v/>
      </c>
      <c r="K225" s="16"/>
      <c r="L225">
        <f t="shared" si="5"/>
        <v>146613894</v>
      </c>
    </row>
    <row r="226" spans="1:12" ht="15" customHeight="1">
      <c r="A226" s="21"/>
      <c r="B226" s="18" t="s">
        <v>220</v>
      </c>
      <c r="C226" s="18" t="s">
        <v>220</v>
      </c>
      <c r="D226" s="18" t="s">
        <v>220</v>
      </c>
      <c r="E226" s="18" t="s">
        <v>220</v>
      </c>
      <c r="F226" s="18" t="s">
        <v>220</v>
      </c>
      <c r="G226" s="19"/>
      <c r="H226" s="19"/>
      <c r="I226" s="15">
        <v>1500000</v>
      </c>
      <c r="J226" s="15">
        <f t="shared" si="4"/>
        <v>145113894</v>
      </c>
      <c r="K226" s="16"/>
      <c r="L226">
        <f t="shared" si="5"/>
        <v>145113894</v>
      </c>
    </row>
    <row r="227" spans="1:12" ht="15" customHeight="1">
      <c r="A227" s="21"/>
      <c r="B227" s="18" t="s">
        <v>221</v>
      </c>
      <c r="C227" s="18" t="s">
        <v>221</v>
      </c>
      <c r="D227" s="18" t="s">
        <v>221</v>
      </c>
      <c r="E227" s="18" t="s">
        <v>221</v>
      </c>
      <c r="F227" s="18" t="s">
        <v>221</v>
      </c>
      <c r="G227" s="19"/>
      <c r="H227" s="19"/>
      <c r="I227" s="15"/>
      <c r="J227" s="15" t="str">
        <f t="shared" si="4"/>
        <v/>
      </c>
      <c r="K227" s="16"/>
      <c r="L227">
        <f t="shared" si="5"/>
        <v>145113894</v>
      </c>
    </row>
    <row r="228" spans="1:12" ht="15" customHeight="1">
      <c r="A228" s="21"/>
      <c r="B228" s="18" t="s">
        <v>222</v>
      </c>
      <c r="C228" s="18" t="s">
        <v>222</v>
      </c>
      <c r="D228" s="18" t="s">
        <v>222</v>
      </c>
      <c r="E228" s="18" t="s">
        <v>222</v>
      </c>
      <c r="F228" s="18" t="s">
        <v>222</v>
      </c>
      <c r="G228" s="19"/>
      <c r="H228" s="19"/>
      <c r="I228" s="15">
        <v>1500000</v>
      </c>
      <c r="J228" s="15">
        <f t="shared" si="4"/>
        <v>143613894</v>
      </c>
      <c r="K228" s="16"/>
      <c r="L228">
        <f t="shared" si="5"/>
        <v>143613894</v>
      </c>
    </row>
    <row r="229" spans="1:12" ht="15" customHeight="1">
      <c r="A229" s="21"/>
      <c r="B229" s="18" t="s">
        <v>223</v>
      </c>
      <c r="C229" s="18" t="s">
        <v>223</v>
      </c>
      <c r="D229" s="18" t="s">
        <v>223</v>
      </c>
      <c r="E229" s="18" t="s">
        <v>223</v>
      </c>
      <c r="F229" s="18" t="s">
        <v>223</v>
      </c>
      <c r="G229" s="19"/>
      <c r="H229" s="19"/>
      <c r="I229" s="15"/>
      <c r="J229" s="15" t="str">
        <f t="shared" si="4"/>
        <v/>
      </c>
      <c r="K229" s="16"/>
      <c r="L229">
        <f t="shared" si="5"/>
        <v>143613894</v>
      </c>
    </row>
    <row r="230" spans="1:12" ht="15" customHeight="1">
      <c r="A230" s="21"/>
      <c r="B230" s="18" t="s">
        <v>224</v>
      </c>
      <c r="C230" s="18" t="s">
        <v>224</v>
      </c>
      <c r="D230" s="18" t="s">
        <v>224</v>
      </c>
      <c r="E230" s="18" t="s">
        <v>224</v>
      </c>
      <c r="F230" s="18" t="s">
        <v>224</v>
      </c>
      <c r="G230" s="19"/>
      <c r="H230" s="19"/>
      <c r="I230" s="15">
        <v>1850000</v>
      </c>
      <c r="J230" s="15">
        <f t="shared" si="4"/>
        <v>141763894</v>
      </c>
      <c r="K230" s="16"/>
      <c r="L230">
        <f t="shared" si="5"/>
        <v>141763894</v>
      </c>
    </row>
    <row r="231" spans="1:12" ht="15" customHeight="1">
      <c r="A231" s="21"/>
      <c r="B231" s="18" t="s">
        <v>225</v>
      </c>
      <c r="C231" s="18" t="s">
        <v>225</v>
      </c>
      <c r="D231" s="18" t="s">
        <v>225</v>
      </c>
      <c r="E231" s="18" t="s">
        <v>225</v>
      </c>
      <c r="F231" s="18" t="s">
        <v>225</v>
      </c>
      <c r="G231" s="19"/>
      <c r="H231" s="19"/>
      <c r="I231" s="15"/>
      <c r="J231" s="15" t="str">
        <f t="shared" si="4"/>
        <v/>
      </c>
      <c r="K231" s="16"/>
      <c r="L231">
        <f t="shared" si="5"/>
        <v>141763894</v>
      </c>
    </row>
    <row r="232" spans="1:12" ht="15" customHeight="1">
      <c r="A232" s="21"/>
      <c r="B232" s="18" t="s">
        <v>226</v>
      </c>
      <c r="C232" s="18" t="s">
        <v>226</v>
      </c>
      <c r="D232" s="18" t="s">
        <v>226</v>
      </c>
      <c r="E232" s="18" t="s">
        <v>226</v>
      </c>
      <c r="F232" s="18" t="s">
        <v>226</v>
      </c>
      <c r="G232" s="19"/>
      <c r="H232" s="19"/>
      <c r="I232" s="15">
        <v>2250000</v>
      </c>
      <c r="J232" s="15">
        <f t="shared" si="4"/>
        <v>139513894</v>
      </c>
      <c r="K232" s="16"/>
      <c r="L232">
        <f t="shared" si="5"/>
        <v>139513894</v>
      </c>
    </row>
    <row r="233" spans="1:12" ht="15" customHeight="1">
      <c r="A233" s="21"/>
      <c r="B233" s="18" t="s">
        <v>227</v>
      </c>
      <c r="C233" s="18" t="s">
        <v>227</v>
      </c>
      <c r="D233" s="18" t="s">
        <v>227</v>
      </c>
      <c r="E233" s="18" t="s">
        <v>227</v>
      </c>
      <c r="F233" s="18" t="s">
        <v>227</v>
      </c>
      <c r="G233" s="19"/>
      <c r="H233" s="19"/>
      <c r="I233" s="15"/>
      <c r="J233" s="15" t="str">
        <f t="shared" si="4"/>
        <v/>
      </c>
      <c r="K233" s="16"/>
      <c r="L233">
        <f t="shared" si="5"/>
        <v>139513894</v>
      </c>
    </row>
    <row r="234" spans="1:12" ht="15" customHeight="1">
      <c r="A234" s="21"/>
      <c r="B234" s="18" t="s">
        <v>228</v>
      </c>
      <c r="C234" s="18" t="s">
        <v>228</v>
      </c>
      <c r="D234" s="18" t="s">
        <v>228</v>
      </c>
      <c r="E234" s="18" t="s">
        <v>228</v>
      </c>
      <c r="F234" s="18" t="s">
        <v>228</v>
      </c>
      <c r="G234" s="19"/>
      <c r="H234" s="19"/>
      <c r="I234" s="15">
        <v>3000000</v>
      </c>
      <c r="J234" s="15">
        <f t="shared" si="4"/>
        <v>136513894</v>
      </c>
      <c r="K234" s="16"/>
      <c r="L234">
        <f t="shared" si="5"/>
        <v>136513894</v>
      </c>
    </row>
    <row r="235" spans="1:12" ht="15" customHeight="1">
      <c r="A235" s="21"/>
      <c r="B235" s="18" t="s">
        <v>229</v>
      </c>
      <c r="C235" s="18" t="s">
        <v>229</v>
      </c>
      <c r="D235" s="18" t="s">
        <v>229</v>
      </c>
      <c r="E235" s="18" t="s">
        <v>229</v>
      </c>
      <c r="F235" s="18" t="s">
        <v>229</v>
      </c>
      <c r="G235" s="19"/>
      <c r="H235" s="19"/>
      <c r="I235" s="15"/>
      <c r="J235" s="15" t="str">
        <f t="shared" si="4"/>
        <v/>
      </c>
      <c r="K235" s="16"/>
      <c r="L235">
        <f t="shared" si="5"/>
        <v>136513894</v>
      </c>
    </row>
    <row r="236" spans="1:12" ht="15" customHeight="1">
      <c r="A236" s="21"/>
      <c r="B236" s="18" t="s">
        <v>230</v>
      </c>
      <c r="C236" s="18" t="s">
        <v>230</v>
      </c>
      <c r="D236" s="18" t="s">
        <v>230</v>
      </c>
      <c r="E236" s="18" t="s">
        <v>230</v>
      </c>
      <c r="F236" s="18" t="s">
        <v>230</v>
      </c>
      <c r="G236" s="19"/>
      <c r="H236" s="19"/>
      <c r="I236" s="15">
        <v>4500000</v>
      </c>
      <c r="J236" s="15">
        <f t="shared" si="4"/>
        <v>132013894</v>
      </c>
      <c r="K236" s="16"/>
      <c r="L236">
        <f t="shared" si="5"/>
        <v>132013894</v>
      </c>
    </row>
    <row r="237" spans="1:12" ht="15" customHeight="1">
      <c r="A237" s="21"/>
      <c r="B237" s="18" t="s">
        <v>231</v>
      </c>
      <c r="C237" s="18" t="s">
        <v>231</v>
      </c>
      <c r="D237" s="18" t="s">
        <v>231</v>
      </c>
      <c r="E237" s="18" t="s">
        <v>231</v>
      </c>
      <c r="F237" s="18" t="s">
        <v>231</v>
      </c>
      <c r="G237" s="19"/>
      <c r="H237" s="19"/>
      <c r="I237" s="15"/>
      <c r="J237" s="15" t="str">
        <f t="shared" si="4"/>
        <v/>
      </c>
      <c r="K237" s="16"/>
      <c r="L237">
        <f t="shared" si="5"/>
        <v>132013894</v>
      </c>
    </row>
    <row r="238" spans="1:12" ht="15" customHeight="1">
      <c r="A238" s="21"/>
      <c r="B238" s="18" t="s">
        <v>232</v>
      </c>
      <c r="C238" s="18" t="s">
        <v>232</v>
      </c>
      <c r="D238" s="18" t="s">
        <v>232</v>
      </c>
      <c r="E238" s="18" t="s">
        <v>232</v>
      </c>
      <c r="F238" s="18" t="s">
        <v>232</v>
      </c>
      <c r="G238" s="19"/>
      <c r="H238" s="19"/>
      <c r="I238" s="15">
        <v>5000000</v>
      </c>
      <c r="J238" s="15">
        <f t="shared" si="4"/>
        <v>127013894</v>
      </c>
      <c r="K238" s="16"/>
      <c r="L238">
        <f t="shared" si="5"/>
        <v>127013894</v>
      </c>
    </row>
    <row r="239" spans="1:12" ht="15" customHeight="1">
      <c r="A239" s="21"/>
      <c r="B239" s="18" t="s">
        <v>233</v>
      </c>
      <c r="C239" s="18" t="s">
        <v>233</v>
      </c>
      <c r="D239" s="18" t="s">
        <v>233</v>
      </c>
      <c r="E239" s="18" t="s">
        <v>233</v>
      </c>
      <c r="F239" s="18" t="s">
        <v>233</v>
      </c>
      <c r="G239" s="19"/>
      <c r="H239" s="19"/>
      <c r="I239" s="15"/>
      <c r="J239" s="15" t="str">
        <f t="shared" ref="J239:J268" si="6">IF(AND(G239="",I239=""),"",L238+VALUE(G239)-VALUE(I239))</f>
        <v/>
      </c>
      <c r="K239" s="16"/>
      <c r="L239">
        <f t="shared" si="5"/>
        <v>127013894</v>
      </c>
    </row>
    <row r="240" spans="1:12" ht="15" customHeight="1">
      <c r="A240" s="21"/>
      <c r="B240" s="18" t="s">
        <v>234</v>
      </c>
      <c r="C240" s="18" t="s">
        <v>234</v>
      </c>
      <c r="D240" s="18" t="s">
        <v>234</v>
      </c>
      <c r="E240" s="18" t="s">
        <v>234</v>
      </c>
      <c r="F240" s="18" t="s">
        <v>234</v>
      </c>
      <c r="G240" s="19"/>
      <c r="H240" s="19"/>
      <c r="I240" s="15">
        <v>819800</v>
      </c>
      <c r="J240" s="15">
        <f t="shared" si="6"/>
        <v>126194094</v>
      </c>
      <c r="K240" s="16"/>
      <c r="L240">
        <f t="shared" si="5"/>
        <v>126194094</v>
      </c>
    </row>
    <row r="241" spans="1:12" ht="15" customHeight="1">
      <c r="A241" s="21"/>
      <c r="B241" s="18" t="s">
        <v>235</v>
      </c>
      <c r="C241" s="18" t="s">
        <v>235</v>
      </c>
      <c r="D241" s="18" t="s">
        <v>235</v>
      </c>
      <c r="E241" s="18" t="s">
        <v>235</v>
      </c>
      <c r="F241" s="18" t="s">
        <v>235</v>
      </c>
      <c r="G241" s="19"/>
      <c r="H241" s="19"/>
      <c r="I241" s="15">
        <v>455700</v>
      </c>
      <c r="J241" s="15">
        <f t="shared" si="6"/>
        <v>125738394</v>
      </c>
      <c r="K241" s="16"/>
      <c r="L241">
        <f t="shared" si="5"/>
        <v>125738394</v>
      </c>
    </row>
    <row r="242" spans="1:12" ht="15" customHeight="1">
      <c r="A242" s="21"/>
      <c r="B242" s="18" t="s">
        <v>236</v>
      </c>
      <c r="C242" s="18" t="s">
        <v>236</v>
      </c>
      <c r="D242" s="18" t="s">
        <v>236</v>
      </c>
      <c r="E242" s="18" t="s">
        <v>236</v>
      </c>
      <c r="F242" s="18" t="s">
        <v>236</v>
      </c>
      <c r="G242" s="19"/>
      <c r="H242" s="19"/>
      <c r="I242" s="15">
        <v>473894</v>
      </c>
      <c r="J242" s="15">
        <f t="shared" si="6"/>
        <v>125264500</v>
      </c>
      <c r="K242" s="16"/>
      <c r="L242">
        <f t="shared" si="5"/>
        <v>125264500</v>
      </c>
    </row>
    <row r="243" spans="1:12" ht="15" customHeight="1">
      <c r="A243" s="21"/>
      <c r="B243" s="18" t="s">
        <v>237</v>
      </c>
      <c r="C243" s="18" t="s">
        <v>237</v>
      </c>
      <c r="D243" s="18" t="s">
        <v>237</v>
      </c>
      <c r="E243" s="18" t="s">
        <v>237</v>
      </c>
      <c r="F243" s="18" t="s">
        <v>237</v>
      </c>
      <c r="G243" s="19"/>
      <c r="H243" s="19"/>
      <c r="I243" s="15">
        <v>1390400</v>
      </c>
      <c r="J243" s="15">
        <f t="shared" si="6"/>
        <v>123874100</v>
      </c>
      <c r="K243" s="16"/>
      <c r="L243">
        <f t="shared" si="5"/>
        <v>123874100</v>
      </c>
    </row>
    <row r="244" spans="1:12" ht="15" customHeight="1">
      <c r="A244" s="21"/>
      <c r="B244" s="18" t="s">
        <v>238</v>
      </c>
      <c r="C244" s="18" t="s">
        <v>238</v>
      </c>
      <c r="D244" s="18" t="s">
        <v>238</v>
      </c>
      <c r="E244" s="18" t="s">
        <v>238</v>
      </c>
      <c r="F244" s="18" t="s">
        <v>238</v>
      </c>
      <c r="G244" s="19"/>
      <c r="H244" s="19"/>
      <c r="I244" s="15">
        <v>1969100</v>
      </c>
      <c r="J244" s="15">
        <f t="shared" si="6"/>
        <v>121905000</v>
      </c>
      <c r="K244" s="16"/>
      <c r="L244">
        <f t="shared" si="5"/>
        <v>121905000</v>
      </c>
    </row>
    <row r="245" spans="1:12" ht="15" customHeight="1">
      <c r="A245" s="21"/>
      <c r="B245" s="18" t="s">
        <v>239</v>
      </c>
      <c r="C245" s="18" t="s">
        <v>239</v>
      </c>
      <c r="D245" s="18" t="s">
        <v>239</v>
      </c>
      <c r="E245" s="18" t="s">
        <v>239</v>
      </c>
      <c r="F245" s="18" t="s">
        <v>239</v>
      </c>
      <c r="G245" s="19"/>
      <c r="H245" s="19"/>
      <c r="I245" s="15"/>
      <c r="J245" s="15" t="str">
        <f t="shared" si="6"/>
        <v/>
      </c>
      <c r="K245" s="16"/>
      <c r="L245">
        <f t="shared" si="5"/>
        <v>121905000</v>
      </c>
    </row>
    <row r="246" spans="1:12" ht="15" customHeight="1">
      <c r="A246" s="21"/>
      <c r="B246" s="18" t="s">
        <v>240</v>
      </c>
      <c r="C246" s="18" t="s">
        <v>240</v>
      </c>
      <c r="D246" s="18" t="s">
        <v>240</v>
      </c>
      <c r="E246" s="18" t="s">
        <v>240</v>
      </c>
      <c r="F246" s="18" t="s">
        <v>240</v>
      </c>
      <c r="G246" s="19"/>
      <c r="H246" s="19"/>
      <c r="I246" s="15">
        <v>7000000</v>
      </c>
      <c r="J246" s="15">
        <f t="shared" si="6"/>
        <v>114905000</v>
      </c>
      <c r="K246" s="16"/>
      <c r="L246">
        <f t="shared" si="5"/>
        <v>114905000</v>
      </c>
    </row>
    <row r="247" spans="1:12" ht="15" customHeight="1">
      <c r="A247" s="21"/>
      <c r="B247" s="18" t="s">
        <v>241</v>
      </c>
      <c r="C247" s="18" t="s">
        <v>241</v>
      </c>
      <c r="D247" s="18" t="s">
        <v>241</v>
      </c>
      <c r="E247" s="18" t="s">
        <v>241</v>
      </c>
      <c r="F247" s="18" t="s">
        <v>241</v>
      </c>
      <c r="G247" s="19"/>
      <c r="H247" s="19"/>
      <c r="I247" s="15"/>
      <c r="J247" s="15" t="str">
        <f t="shared" si="6"/>
        <v/>
      </c>
      <c r="K247" s="16"/>
      <c r="L247">
        <f t="shared" si="5"/>
        <v>114905000</v>
      </c>
    </row>
    <row r="248" spans="1:12" ht="15" customHeight="1">
      <c r="A248" s="21"/>
      <c r="B248" s="18" t="s">
        <v>242</v>
      </c>
      <c r="C248" s="18" t="s">
        <v>242</v>
      </c>
      <c r="D248" s="18" t="s">
        <v>242</v>
      </c>
      <c r="E248" s="18" t="s">
        <v>242</v>
      </c>
      <c r="F248" s="18" t="s">
        <v>242</v>
      </c>
      <c r="G248" s="19"/>
      <c r="H248" s="19"/>
      <c r="I248" s="15">
        <v>3500000</v>
      </c>
      <c r="J248" s="15">
        <f t="shared" si="6"/>
        <v>111405000</v>
      </c>
      <c r="K248" s="16"/>
      <c r="L248">
        <f t="shared" si="5"/>
        <v>111405000</v>
      </c>
    </row>
    <row r="249" spans="1:12" ht="15" customHeight="1">
      <c r="A249" s="21"/>
      <c r="B249" s="18" t="s">
        <v>243</v>
      </c>
      <c r="C249" s="18" t="s">
        <v>243</v>
      </c>
      <c r="D249" s="18" t="s">
        <v>243</v>
      </c>
      <c r="E249" s="18" t="s">
        <v>243</v>
      </c>
      <c r="F249" s="18" t="s">
        <v>243</v>
      </c>
      <c r="G249" s="19"/>
      <c r="H249" s="19"/>
      <c r="I249" s="15">
        <v>3500000</v>
      </c>
      <c r="J249" s="15">
        <f t="shared" si="6"/>
        <v>107905000</v>
      </c>
      <c r="K249" s="16"/>
      <c r="L249">
        <f t="shared" si="5"/>
        <v>107905000</v>
      </c>
    </row>
    <row r="250" spans="1:12" ht="15" customHeight="1">
      <c r="A250" s="21"/>
      <c r="B250" s="18" t="s">
        <v>244</v>
      </c>
      <c r="C250" s="18" t="s">
        <v>244</v>
      </c>
      <c r="D250" s="18" t="s">
        <v>244</v>
      </c>
      <c r="E250" s="18" t="s">
        <v>244</v>
      </c>
      <c r="F250" s="18" t="s">
        <v>244</v>
      </c>
      <c r="G250" s="19"/>
      <c r="H250" s="19"/>
      <c r="I250" s="15"/>
      <c r="J250" s="15" t="str">
        <f t="shared" si="6"/>
        <v/>
      </c>
      <c r="K250" s="16"/>
      <c r="L250">
        <f t="shared" si="5"/>
        <v>107905000</v>
      </c>
    </row>
    <row r="251" spans="1:12" ht="15" customHeight="1">
      <c r="A251" s="21"/>
      <c r="B251" s="18" t="s">
        <v>245</v>
      </c>
      <c r="C251" s="18" t="s">
        <v>245</v>
      </c>
      <c r="D251" s="18" t="s">
        <v>245</v>
      </c>
      <c r="E251" s="18" t="s">
        <v>245</v>
      </c>
      <c r="F251" s="18" t="s">
        <v>245</v>
      </c>
      <c r="G251" s="19"/>
      <c r="H251" s="19"/>
      <c r="I251" s="15">
        <v>3000000</v>
      </c>
      <c r="J251" s="15">
        <f t="shared" si="6"/>
        <v>104905000</v>
      </c>
      <c r="K251" s="16"/>
      <c r="L251">
        <f t="shared" si="5"/>
        <v>104905000</v>
      </c>
    </row>
    <row r="252" spans="1:12" ht="15" customHeight="1">
      <c r="A252" s="21"/>
      <c r="B252" s="18" t="s">
        <v>246</v>
      </c>
      <c r="C252" s="18" t="s">
        <v>246</v>
      </c>
      <c r="D252" s="18" t="s">
        <v>246</v>
      </c>
      <c r="E252" s="18" t="s">
        <v>246</v>
      </c>
      <c r="F252" s="18" t="s">
        <v>246</v>
      </c>
      <c r="G252" s="19"/>
      <c r="H252" s="19"/>
      <c r="I252" s="15">
        <v>2500000</v>
      </c>
      <c r="J252" s="15">
        <f t="shared" si="6"/>
        <v>102405000</v>
      </c>
      <c r="K252" s="16"/>
      <c r="L252">
        <f t="shared" si="5"/>
        <v>102405000</v>
      </c>
    </row>
    <row r="253" spans="1:12" ht="15" customHeight="1">
      <c r="A253" s="21"/>
      <c r="B253" s="18" t="s">
        <v>247</v>
      </c>
      <c r="C253" s="18" t="s">
        <v>247</v>
      </c>
      <c r="D253" s="18" t="s">
        <v>247</v>
      </c>
      <c r="E253" s="18" t="s">
        <v>247</v>
      </c>
      <c r="F253" s="18" t="s">
        <v>247</v>
      </c>
      <c r="G253" s="19"/>
      <c r="H253" s="19"/>
      <c r="I253" s="15">
        <v>2000000</v>
      </c>
      <c r="J253" s="15">
        <f t="shared" si="6"/>
        <v>100405000</v>
      </c>
      <c r="K253" s="16"/>
      <c r="L253">
        <f t="shared" si="5"/>
        <v>100405000</v>
      </c>
    </row>
    <row r="254" spans="1:12" ht="15" customHeight="1">
      <c r="A254" s="21"/>
      <c r="B254" s="18" t="s">
        <v>248</v>
      </c>
      <c r="C254" s="18" t="s">
        <v>248</v>
      </c>
      <c r="D254" s="18" t="s">
        <v>248</v>
      </c>
      <c r="E254" s="18" t="s">
        <v>248</v>
      </c>
      <c r="F254" s="18" t="s">
        <v>248</v>
      </c>
      <c r="G254" s="19"/>
      <c r="H254" s="19"/>
      <c r="I254" s="15"/>
      <c r="J254" s="15" t="str">
        <f t="shared" si="6"/>
        <v/>
      </c>
      <c r="K254" s="16"/>
      <c r="L254">
        <f t="shared" si="5"/>
        <v>100405000</v>
      </c>
    </row>
    <row r="255" spans="1:12" ht="15" customHeight="1">
      <c r="A255" s="21"/>
      <c r="B255" s="18" t="s">
        <v>249</v>
      </c>
      <c r="C255" s="18" t="s">
        <v>249</v>
      </c>
      <c r="D255" s="18" t="s">
        <v>249</v>
      </c>
      <c r="E255" s="18" t="s">
        <v>249</v>
      </c>
      <c r="F255" s="18" t="s">
        <v>249</v>
      </c>
      <c r="G255" s="19"/>
      <c r="H255" s="19"/>
      <c r="I255" s="15">
        <v>8500000</v>
      </c>
      <c r="J255" s="15">
        <f t="shared" si="6"/>
        <v>91905000</v>
      </c>
      <c r="K255" s="16"/>
      <c r="L255">
        <f t="shared" si="5"/>
        <v>91905000</v>
      </c>
    </row>
    <row r="256" spans="1:12" ht="15" customHeight="1">
      <c r="A256" s="21"/>
      <c r="B256" s="18" t="s">
        <v>250</v>
      </c>
      <c r="C256" s="18" t="s">
        <v>250</v>
      </c>
      <c r="D256" s="18" t="s">
        <v>250</v>
      </c>
      <c r="E256" s="18" t="s">
        <v>250</v>
      </c>
      <c r="F256" s="18" t="s">
        <v>250</v>
      </c>
      <c r="G256" s="19"/>
      <c r="H256" s="19"/>
      <c r="I256" s="15"/>
      <c r="J256" s="15" t="str">
        <f t="shared" si="6"/>
        <v/>
      </c>
      <c r="K256" s="16"/>
      <c r="L256">
        <f t="shared" si="5"/>
        <v>91905000</v>
      </c>
    </row>
    <row r="257" spans="1:14" ht="15" customHeight="1">
      <c r="A257" s="21"/>
      <c r="B257" s="18" t="s">
        <v>251</v>
      </c>
      <c r="C257" s="18" t="s">
        <v>251</v>
      </c>
      <c r="D257" s="18" t="s">
        <v>251</v>
      </c>
      <c r="E257" s="18" t="s">
        <v>251</v>
      </c>
      <c r="F257" s="18" t="s">
        <v>251</v>
      </c>
      <c r="G257" s="19"/>
      <c r="H257" s="19"/>
      <c r="I257" s="15">
        <v>11000000</v>
      </c>
      <c r="J257" s="15">
        <f t="shared" si="6"/>
        <v>80905000</v>
      </c>
      <c r="K257" s="16"/>
      <c r="L257">
        <f t="shared" si="5"/>
        <v>80905000</v>
      </c>
    </row>
    <row r="258" spans="1:14" ht="15" customHeight="1">
      <c r="A258" s="21"/>
      <c r="B258" s="18" t="s">
        <v>252</v>
      </c>
      <c r="C258" s="18" t="s">
        <v>252</v>
      </c>
      <c r="D258" s="18" t="s">
        <v>252</v>
      </c>
      <c r="E258" s="18" t="s">
        <v>252</v>
      </c>
      <c r="F258" s="18" t="s">
        <v>252</v>
      </c>
      <c r="G258" s="19"/>
      <c r="H258" s="19"/>
      <c r="I258" s="15"/>
      <c r="J258" s="15" t="str">
        <f t="shared" si="6"/>
        <v/>
      </c>
      <c r="K258" s="16"/>
      <c r="L258">
        <f t="shared" si="5"/>
        <v>80905000</v>
      </c>
    </row>
    <row r="259" spans="1:14" ht="15" customHeight="1">
      <c r="A259" s="21"/>
      <c r="B259" s="18" t="s">
        <v>253</v>
      </c>
      <c r="C259" s="18" t="s">
        <v>253</v>
      </c>
      <c r="D259" s="18" t="s">
        <v>253</v>
      </c>
      <c r="E259" s="18" t="s">
        <v>253</v>
      </c>
      <c r="F259" s="18" t="s">
        <v>253</v>
      </c>
      <c r="G259" s="19"/>
      <c r="H259" s="19"/>
      <c r="I259" s="15">
        <v>7347000</v>
      </c>
      <c r="J259" s="15">
        <f t="shared" si="6"/>
        <v>73558000</v>
      </c>
      <c r="K259" s="16"/>
      <c r="L259">
        <f t="shared" si="5"/>
        <v>73558000</v>
      </c>
    </row>
    <row r="260" spans="1:14" ht="15" customHeight="1">
      <c r="A260" s="21"/>
      <c r="B260" s="18" t="s">
        <v>254</v>
      </c>
      <c r="C260" s="18" t="s">
        <v>254</v>
      </c>
      <c r="D260" s="18" t="s">
        <v>254</v>
      </c>
      <c r="E260" s="18" t="s">
        <v>254</v>
      </c>
      <c r="F260" s="18" t="s">
        <v>254</v>
      </c>
      <c r="G260" s="19"/>
      <c r="H260" s="19"/>
      <c r="I260" s="15">
        <v>6243000</v>
      </c>
      <c r="J260" s="15">
        <f t="shared" si="6"/>
        <v>67315000</v>
      </c>
      <c r="K260" s="16"/>
      <c r="L260">
        <f t="shared" si="5"/>
        <v>67315000</v>
      </c>
    </row>
    <row r="261" spans="1:14" ht="15" customHeight="1">
      <c r="A261" s="21"/>
      <c r="B261" s="18" t="s">
        <v>255</v>
      </c>
      <c r="C261" s="18" t="s">
        <v>255</v>
      </c>
      <c r="D261" s="18" t="s">
        <v>255</v>
      </c>
      <c r="E261" s="18" t="s">
        <v>255</v>
      </c>
      <c r="F261" s="18" t="s">
        <v>255</v>
      </c>
      <c r="G261" s="19"/>
      <c r="H261" s="19"/>
      <c r="I261" s="15">
        <v>4465000</v>
      </c>
      <c r="J261" s="15">
        <f t="shared" si="6"/>
        <v>62850000</v>
      </c>
      <c r="K261" s="16"/>
      <c r="L261">
        <f t="shared" ref="L261:L268" si="7">IF(J261="",L260,J261)</f>
        <v>62850000</v>
      </c>
    </row>
    <row r="262" spans="1:14" ht="15" customHeight="1">
      <c r="A262" s="21"/>
      <c r="B262" s="18" t="s">
        <v>256</v>
      </c>
      <c r="C262" s="18"/>
      <c r="D262" s="18"/>
      <c r="E262" s="18"/>
      <c r="F262" s="18"/>
      <c r="G262" s="19"/>
      <c r="H262" s="19"/>
      <c r="I262" s="15">
        <v>9350000</v>
      </c>
      <c r="J262" s="15">
        <f t="shared" si="6"/>
        <v>53500000</v>
      </c>
      <c r="K262" s="16"/>
      <c r="L262">
        <f t="shared" si="7"/>
        <v>53500000</v>
      </c>
    </row>
    <row r="263" spans="1:14" ht="15" customHeight="1">
      <c r="A263" s="21"/>
      <c r="B263" s="18" t="s">
        <v>257</v>
      </c>
      <c r="C263" s="18" t="s">
        <v>257</v>
      </c>
      <c r="D263" s="18" t="s">
        <v>257</v>
      </c>
      <c r="E263" s="18" t="s">
        <v>257</v>
      </c>
      <c r="F263" s="18" t="s">
        <v>257</v>
      </c>
      <c r="G263" s="19"/>
      <c r="H263" s="19"/>
      <c r="I263" s="15"/>
      <c r="J263" s="15" t="str">
        <f t="shared" si="6"/>
        <v/>
      </c>
      <c r="K263" s="16"/>
      <c r="L263">
        <f t="shared" si="7"/>
        <v>53500000</v>
      </c>
    </row>
    <row r="264" spans="1:14" ht="15" customHeight="1">
      <c r="A264" s="21"/>
      <c r="B264" s="18" t="s">
        <v>258</v>
      </c>
      <c r="C264" s="18" t="s">
        <v>258</v>
      </c>
      <c r="D264" s="18" t="s">
        <v>258</v>
      </c>
      <c r="E264" s="18" t="s">
        <v>258</v>
      </c>
      <c r="F264" s="18" t="s">
        <v>258</v>
      </c>
      <c r="G264" s="19"/>
      <c r="H264" s="19"/>
      <c r="I264" s="15">
        <v>7000000</v>
      </c>
      <c r="J264" s="15">
        <f t="shared" si="6"/>
        <v>46500000</v>
      </c>
      <c r="K264" s="16"/>
      <c r="L264">
        <f t="shared" si="7"/>
        <v>46500000</v>
      </c>
    </row>
    <row r="265" spans="1:14" ht="15" customHeight="1">
      <c r="A265" s="21"/>
      <c r="B265" s="18" t="s">
        <v>259</v>
      </c>
      <c r="C265" s="18" t="s">
        <v>259</v>
      </c>
      <c r="D265" s="18" t="s">
        <v>259</v>
      </c>
      <c r="E265" s="18" t="s">
        <v>259</v>
      </c>
      <c r="F265" s="18" t="s">
        <v>259</v>
      </c>
      <c r="G265" s="19"/>
      <c r="H265" s="19"/>
      <c r="I265" s="15">
        <v>7000000</v>
      </c>
      <c r="J265" s="15">
        <f t="shared" si="6"/>
        <v>39500000</v>
      </c>
      <c r="K265" s="16"/>
      <c r="L265">
        <f t="shared" si="7"/>
        <v>39500000</v>
      </c>
    </row>
    <row r="266" spans="1:14" ht="15" customHeight="1">
      <c r="A266" s="21"/>
      <c r="B266" s="18" t="s">
        <v>260</v>
      </c>
      <c r="C266" s="18" t="s">
        <v>260</v>
      </c>
      <c r="D266" s="18" t="s">
        <v>260</v>
      </c>
      <c r="E266" s="18" t="s">
        <v>260</v>
      </c>
      <c r="F266" s="18" t="s">
        <v>260</v>
      </c>
      <c r="G266" s="19"/>
      <c r="H266" s="19"/>
      <c r="I266" s="15">
        <v>7000000</v>
      </c>
      <c r="J266" s="15">
        <f t="shared" si="6"/>
        <v>32500000</v>
      </c>
      <c r="K266" s="16"/>
      <c r="L266">
        <f t="shared" si="7"/>
        <v>32500000</v>
      </c>
    </row>
    <row r="267" spans="1:14" ht="15" customHeight="1">
      <c r="A267" s="21"/>
      <c r="B267" s="18" t="s">
        <v>261</v>
      </c>
      <c r="C267" s="18" t="s">
        <v>261</v>
      </c>
      <c r="D267" s="18" t="s">
        <v>261</v>
      </c>
      <c r="E267" s="18" t="s">
        <v>261</v>
      </c>
      <c r="F267" s="18" t="s">
        <v>261</v>
      </c>
      <c r="G267" s="19"/>
      <c r="H267" s="19"/>
      <c r="I267" s="15"/>
      <c r="J267" s="15" t="str">
        <f t="shared" si="6"/>
        <v/>
      </c>
      <c r="K267" s="16"/>
      <c r="L267">
        <f t="shared" si="7"/>
        <v>32500000</v>
      </c>
    </row>
    <row r="268" spans="1:14" ht="15" customHeight="1" thickBot="1">
      <c r="A268" s="21"/>
      <c r="B268" s="18" t="s">
        <v>262</v>
      </c>
      <c r="C268" s="18" t="s">
        <v>262</v>
      </c>
      <c r="D268" s="18" t="s">
        <v>262</v>
      </c>
      <c r="E268" s="18" t="s">
        <v>262</v>
      </c>
      <c r="F268" s="18" t="s">
        <v>262</v>
      </c>
      <c r="G268" s="19"/>
      <c r="H268" s="19"/>
      <c r="I268" s="15">
        <v>32500000</v>
      </c>
      <c r="J268" s="15">
        <f t="shared" si="6"/>
        <v>0</v>
      </c>
      <c r="K268" s="16"/>
      <c r="L268">
        <f t="shared" si="7"/>
        <v>0</v>
      </c>
    </row>
    <row r="269" spans="1:14" ht="15.75" thickBot="1">
      <c r="A269" s="22" t="s">
        <v>263</v>
      </c>
      <c r="B269" s="23"/>
      <c r="C269" s="23"/>
      <c r="D269" s="23"/>
      <c r="E269" s="23"/>
      <c r="F269" s="23"/>
      <c r="G269" s="24">
        <f>SUM(G6:H268)</f>
        <v>158538950</v>
      </c>
      <c r="H269" s="24"/>
      <c r="I269" s="25">
        <f>SUM(I6:I268)</f>
        <v>158538950</v>
      </c>
      <c r="J269" s="25">
        <v>0</v>
      </c>
      <c r="K269" s="16"/>
      <c r="L269">
        <f>IF(J269="",#REF!,J269)</f>
        <v>0</v>
      </c>
    </row>
    <row r="270" spans="1:14" ht="8.25" customHeight="1">
      <c r="A270" s="26"/>
      <c r="B270" s="26"/>
      <c r="C270" s="26"/>
      <c r="D270" s="26"/>
      <c r="E270" s="26"/>
      <c r="F270" s="26"/>
      <c r="G270" s="27"/>
      <c r="H270" s="27"/>
      <c r="I270" s="28"/>
      <c r="J270" s="28"/>
      <c r="K270" s="16"/>
      <c r="L270">
        <f t="shared" ref="L270:L333" si="8">IF(J270="",L269,J270)</f>
        <v>0</v>
      </c>
    </row>
    <row r="271" spans="1:14" ht="20.100000000000001" customHeight="1">
      <c r="A271" s="29" t="s">
        <v>264</v>
      </c>
      <c r="B271" s="30"/>
      <c r="C271" s="30"/>
      <c r="D271" s="30"/>
      <c r="E271" s="30"/>
      <c r="F271" s="30"/>
      <c r="G271" s="30"/>
      <c r="H271" s="30"/>
      <c r="I271" s="30"/>
      <c r="J271" s="31"/>
      <c r="K271" s="16"/>
      <c r="L271" t="e">
        <f>IF(J271="",#REF!,J271)</f>
        <v>#REF!</v>
      </c>
      <c r="M271" t="e">
        <f>VLOOKUP(B271,[1]Sheet4!$A$4:$C$86,2,0)</f>
        <v>#N/A</v>
      </c>
      <c r="N271" s="32"/>
    </row>
    <row r="272" spans="1:14" ht="20.100000000000001" customHeight="1">
      <c r="A272" s="33" t="s">
        <v>2</v>
      </c>
      <c r="B272" s="33" t="s">
        <v>3</v>
      </c>
      <c r="C272" s="33" t="s">
        <v>265</v>
      </c>
      <c r="D272" s="33"/>
      <c r="E272" s="33"/>
      <c r="F272" s="34" t="s">
        <v>266</v>
      </c>
      <c r="G272" s="34"/>
      <c r="H272" s="34"/>
      <c r="I272" s="33" t="s">
        <v>267</v>
      </c>
      <c r="J272" s="33"/>
      <c r="K272" s="16"/>
      <c r="L272" t="e">
        <f t="shared" si="8"/>
        <v>#REF!</v>
      </c>
      <c r="M272" t="e">
        <f>VLOOKUP(B272,[1]Sheet4!$A$4:$C$86,2,0)</f>
        <v>#N/A</v>
      </c>
      <c r="N272" s="32"/>
    </row>
    <row r="273" spans="1:22" ht="20.100000000000001" customHeight="1">
      <c r="A273" s="33"/>
      <c r="B273" s="33"/>
      <c r="C273" s="33"/>
      <c r="D273" s="33"/>
      <c r="E273" s="33"/>
      <c r="F273" s="34"/>
      <c r="G273" s="34"/>
      <c r="H273" s="34"/>
      <c r="I273" s="33"/>
      <c r="J273" s="33"/>
      <c r="K273" s="16"/>
      <c r="L273" t="e">
        <f t="shared" si="8"/>
        <v>#REF!</v>
      </c>
      <c r="M273" t="e">
        <f>VLOOKUP(B273,[1]Sheet4!$A$4:$C$86,2,0)</f>
        <v>#N/A</v>
      </c>
      <c r="N273" s="32"/>
    </row>
    <row r="274" spans="1:22" ht="20.100000000000001" customHeight="1">
      <c r="A274" s="35" t="s">
        <v>268</v>
      </c>
      <c r="B274" s="36" t="s">
        <v>269</v>
      </c>
      <c r="C274" s="37">
        <f>G5</f>
        <v>0</v>
      </c>
      <c r="D274" s="37"/>
      <c r="E274" s="37"/>
      <c r="F274" s="38">
        <v>112169043</v>
      </c>
      <c r="G274" s="38"/>
      <c r="H274" s="38"/>
      <c r="I274" s="38">
        <f>SUM(C274:F274)</f>
        <v>112169043</v>
      </c>
      <c r="J274" s="38"/>
      <c r="K274" s="16"/>
      <c r="L274" t="e">
        <f t="shared" si="8"/>
        <v>#REF!</v>
      </c>
      <c r="M274" t="e">
        <f>VLOOKUP(B274,[1]Sheet4!$A$4:$C$86,2,0)</f>
        <v>#N/A</v>
      </c>
      <c r="N274" s="32"/>
    </row>
    <row r="275" spans="1:22" ht="32.25" customHeight="1">
      <c r="A275" s="35" t="s">
        <v>270</v>
      </c>
      <c r="B275" s="39" t="s">
        <v>271</v>
      </c>
      <c r="C275" s="37">
        <f>SUM(G5:H268)</f>
        <v>158538950</v>
      </c>
      <c r="D275" s="37"/>
      <c r="E275" s="37"/>
      <c r="F275" s="37">
        <v>27405000</v>
      </c>
      <c r="G275" s="37"/>
      <c r="H275" s="37"/>
      <c r="I275" s="38">
        <f>SUM(C275:F275)</f>
        <v>185943950</v>
      </c>
      <c r="J275" s="38"/>
      <c r="K275" s="16"/>
      <c r="L275" t="e">
        <f t="shared" si="8"/>
        <v>#REF!</v>
      </c>
      <c r="M275" t="e">
        <f>VLOOKUP(B275,[1]Sheet4!$A$4:$C$86,2,0)</f>
        <v>#N/A</v>
      </c>
      <c r="N275" s="32"/>
    </row>
    <row r="276" spans="1:22" ht="33" customHeight="1">
      <c r="A276" s="35" t="s">
        <v>272</v>
      </c>
      <c r="B276" s="39" t="s">
        <v>273</v>
      </c>
      <c r="C276" s="37">
        <f>SUM(+I269)</f>
        <v>158538950</v>
      </c>
      <c r="D276" s="37"/>
      <c r="E276" s="37"/>
      <c r="F276" s="37">
        <v>128870950</v>
      </c>
      <c r="G276" s="37"/>
      <c r="H276" s="37"/>
      <c r="I276" s="38">
        <f>SUM(C276:F276)</f>
        <v>287409900</v>
      </c>
      <c r="J276" s="38"/>
      <c r="K276" s="16"/>
      <c r="L276" t="e">
        <f t="shared" si="8"/>
        <v>#REF!</v>
      </c>
      <c r="M276" t="e">
        <f>VLOOKUP(B276,[1]Sheet4!$A$4:$C$86,2,0)</f>
        <v>#N/A</v>
      </c>
      <c r="N276" s="32"/>
      <c r="V276" s="32"/>
    </row>
    <row r="277" spans="1:22" ht="20.100000000000001" customHeight="1">
      <c r="A277" s="40" t="s">
        <v>274</v>
      </c>
      <c r="B277" s="41" t="s">
        <v>275</v>
      </c>
      <c r="C277" s="37">
        <f>SUM(+C274+C275-C276)</f>
        <v>0</v>
      </c>
      <c r="D277" s="37"/>
      <c r="E277" s="37"/>
      <c r="F277" s="37">
        <f>SUM(+F274+F275-F276)</f>
        <v>10703093</v>
      </c>
      <c r="G277" s="37"/>
      <c r="H277" s="37"/>
      <c r="I277" s="38">
        <f>C277+F277</f>
        <v>10703093</v>
      </c>
      <c r="J277" s="38"/>
      <c r="K277" s="16"/>
      <c r="L277" t="e">
        <f t="shared" si="8"/>
        <v>#REF!</v>
      </c>
      <c r="M277" t="e">
        <f>VLOOKUP(B277,[1]Sheet4!$A$4:$C$86,2,0)</f>
        <v>#N/A</v>
      </c>
      <c r="N277" s="32"/>
      <c r="O277" s="42">
        <v>111877622</v>
      </c>
      <c r="P277" s="43"/>
      <c r="Q277" s="43"/>
    </row>
    <row r="278" spans="1:22" ht="20.100000000000001" customHeight="1">
      <c r="A278" s="44" t="s">
        <v>276</v>
      </c>
      <c r="B278" s="45"/>
      <c r="C278" s="45"/>
      <c r="D278" s="45"/>
      <c r="E278" s="45"/>
      <c r="F278" s="45"/>
      <c r="G278" s="45"/>
      <c r="H278" s="45"/>
      <c r="I278" s="45"/>
      <c r="J278" s="46"/>
      <c r="K278" s="16"/>
      <c r="L278" t="e">
        <f t="shared" si="8"/>
        <v>#REF!</v>
      </c>
      <c r="M278" t="e">
        <f>VLOOKUP(B278,[1]Sheet4!$A$4:$C$86,2,0)</f>
        <v>#N/A</v>
      </c>
    </row>
    <row r="279" spans="1:22" ht="20.100000000000001" customHeight="1">
      <c r="A279" s="44" t="s">
        <v>277</v>
      </c>
      <c r="B279" s="45"/>
      <c r="C279" s="45"/>
      <c r="D279" s="45"/>
      <c r="E279" s="45"/>
      <c r="F279" s="45"/>
      <c r="G279" s="45"/>
      <c r="H279" s="45"/>
      <c r="I279" s="45"/>
      <c r="J279" s="46"/>
      <c r="K279" s="16"/>
      <c r="L279" t="e">
        <f t="shared" si="8"/>
        <v>#REF!</v>
      </c>
      <c r="M279" t="e">
        <f>VLOOKUP(B279,[1]Sheet4!$A$4:$C$86,2,0)</f>
        <v>#N/A</v>
      </c>
    </row>
    <row r="280" spans="1:22" ht="20.100000000000001" customHeight="1">
      <c r="A280" s="44" t="s">
        <v>278</v>
      </c>
      <c r="B280" s="45"/>
      <c r="C280" s="45"/>
      <c r="D280" s="45"/>
      <c r="E280" s="45"/>
      <c r="F280" s="45"/>
      <c r="G280" s="45"/>
      <c r="H280" s="45"/>
      <c r="I280" s="45"/>
      <c r="J280" s="46"/>
      <c r="K280" s="16"/>
      <c r="L280" t="e">
        <f t="shared" si="8"/>
        <v>#REF!</v>
      </c>
      <c r="M280" t="e">
        <f>VLOOKUP(B280,[1]Sheet4!$A$4:$C$86,2,0)</f>
        <v>#N/A</v>
      </c>
    </row>
    <row r="281" spans="1:22" ht="13.5" customHeight="1">
      <c r="A281" s="47"/>
      <c r="B281" s="48"/>
      <c r="C281" s="49"/>
      <c r="D281" s="49"/>
      <c r="E281" s="50" t="s">
        <v>279</v>
      </c>
      <c r="F281" s="50"/>
      <c r="G281" s="50"/>
      <c r="H281" s="50"/>
      <c r="I281" s="50"/>
      <c r="J281" s="46"/>
      <c r="K281" s="16"/>
      <c r="L281" t="e">
        <f t="shared" si="8"/>
        <v>#REF!</v>
      </c>
      <c r="M281" t="e">
        <f>VLOOKUP(B281,[1]Sheet4!$A$4:$C$86,2,0)</f>
        <v>#N/A</v>
      </c>
    </row>
    <row r="282" spans="1:22" ht="12" customHeight="1">
      <c r="A282" s="51"/>
      <c r="B282" s="52"/>
      <c r="C282" s="52"/>
      <c r="D282" s="52"/>
      <c r="E282" s="53"/>
      <c r="F282" s="53"/>
      <c r="G282" s="54"/>
      <c r="H282" s="54"/>
      <c r="I282" s="54"/>
      <c r="J282" s="55"/>
      <c r="K282" s="56"/>
      <c r="L282" t="e">
        <f t="shared" si="8"/>
        <v>#REF!</v>
      </c>
      <c r="M282" t="e">
        <f>VLOOKUP(B282,[1]Sheet4!$A$4:$C$86,2,0)</f>
        <v>#N/A</v>
      </c>
      <c r="R282" s="57"/>
    </row>
    <row r="283" spans="1:22" ht="20.100000000000001" customHeight="1">
      <c r="A283" s="58" t="s">
        <v>280</v>
      </c>
      <c r="B283" s="59"/>
      <c r="C283" s="59"/>
      <c r="D283" s="59"/>
      <c r="E283" s="59"/>
      <c r="F283" s="59"/>
      <c r="G283" s="59"/>
      <c r="H283" s="59"/>
      <c r="I283" s="59"/>
      <c r="J283" s="55"/>
      <c r="K283" s="57"/>
      <c r="L283" t="e">
        <f t="shared" si="8"/>
        <v>#REF!</v>
      </c>
      <c r="M283" t="e">
        <f>VLOOKUP(B283,[1]Sheet4!$A$4:$C$86,2,0)</f>
        <v>#N/A</v>
      </c>
    </row>
    <row r="284" spans="1:22" ht="18" customHeight="1">
      <c r="A284" s="58" t="s">
        <v>281</v>
      </c>
      <c r="B284" s="59"/>
      <c r="C284" s="59"/>
      <c r="D284" s="60"/>
      <c r="E284" s="60"/>
      <c r="F284" s="60" t="s">
        <v>282</v>
      </c>
      <c r="G284" s="61"/>
      <c r="H284" s="61"/>
      <c r="I284" s="61"/>
      <c r="J284" s="55"/>
      <c r="L284" t="e">
        <f t="shared" si="8"/>
        <v>#REF!</v>
      </c>
      <c r="M284" t="e">
        <f>VLOOKUP(B284,[1]Sheet4!$A$4:$C$86,2,0)</f>
        <v>#N/A</v>
      </c>
    </row>
    <row r="285" spans="1:22" ht="20.100000000000001" customHeight="1">
      <c r="A285" s="62"/>
      <c r="B285" s="63"/>
      <c r="C285" s="63"/>
      <c r="D285" s="52"/>
      <c r="E285" s="64"/>
      <c r="F285" s="64"/>
      <c r="G285" s="64"/>
      <c r="H285" s="64"/>
      <c r="I285" s="64"/>
      <c r="J285" s="55"/>
      <c r="L285" t="e">
        <f t="shared" si="8"/>
        <v>#REF!</v>
      </c>
      <c r="M285" t="e">
        <f>VLOOKUP(B285,[1]Sheet4!$A$4:$C$86,2,0)</f>
        <v>#N/A</v>
      </c>
    </row>
    <row r="286" spans="1:22" ht="20.100000000000001" customHeight="1">
      <c r="A286" s="65" t="s">
        <v>283</v>
      </c>
      <c r="B286" s="66"/>
      <c r="C286" s="66"/>
      <c r="D286" s="67"/>
      <c r="E286" s="60" t="s">
        <v>284</v>
      </c>
      <c r="F286" s="68"/>
      <c r="G286" s="69"/>
      <c r="H286" s="70"/>
      <c r="I286" s="69"/>
      <c r="J286" s="55"/>
      <c r="L286" t="e">
        <f t="shared" si="8"/>
        <v>#REF!</v>
      </c>
      <c r="M286" t="e">
        <f>VLOOKUP(B286,[1]Sheet4!$A$4:$C$86,2,0)</f>
        <v>#N/A</v>
      </c>
    </row>
    <row r="287" spans="1:22" ht="20.100000000000001" customHeight="1">
      <c r="A287" s="71" t="s">
        <v>285</v>
      </c>
      <c r="B287" s="72"/>
      <c r="C287" s="72"/>
      <c r="D287" s="72"/>
      <c r="E287" s="72"/>
      <c r="F287" s="72"/>
      <c r="G287" s="72"/>
      <c r="H287" s="72"/>
      <c r="I287" s="72"/>
      <c r="J287" s="55"/>
      <c r="L287" t="e">
        <f t="shared" si="8"/>
        <v>#REF!</v>
      </c>
      <c r="M287" t="e">
        <f>VLOOKUP(B287,[1]Sheet4!$A$4:$C$86,2,0)</f>
        <v>#N/A</v>
      </c>
    </row>
    <row r="288" spans="1:22" ht="15.75" customHeight="1">
      <c r="A288" s="73"/>
      <c r="B288" s="74" t="s">
        <v>286</v>
      </c>
      <c r="C288" s="74"/>
      <c r="D288" s="74"/>
      <c r="E288" s="74"/>
      <c r="F288" s="74"/>
      <c r="G288" s="75"/>
      <c r="H288" s="75"/>
      <c r="I288" s="75"/>
      <c r="J288" s="55"/>
      <c r="L288" t="e">
        <f t="shared" si="8"/>
        <v>#REF!</v>
      </c>
      <c r="M288" t="e">
        <f>VLOOKUP(B288,[1]Sheet4!$A$4:$C$86,2,0)</f>
        <v>#N/A</v>
      </c>
    </row>
    <row r="289" spans="1:13" ht="15.75" customHeight="1" thickBot="1">
      <c r="A289" s="74"/>
      <c r="B289" s="74"/>
      <c r="C289" s="74"/>
      <c r="D289" s="74"/>
      <c r="E289" s="74"/>
      <c r="F289" s="74"/>
      <c r="G289" s="75"/>
      <c r="H289" s="75"/>
      <c r="I289" s="75"/>
      <c r="L289" t="e">
        <f>IF(J289="",#REF!,J289)</f>
        <v>#REF!</v>
      </c>
    </row>
    <row r="290" spans="1:13" ht="20.100000000000001" customHeight="1" thickTop="1">
      <c r="B290" s="76" t="s">
        <v>287</v>
      </c>
      <c r="C290" s="77"/>
      <c r="D290" s="77"/>
      <c r="E290" s="77"/>
      <c r="F290" s="77"/>
      <c r="G290" s="77"/>
      <c r="H290" s="77"/>
      <c r="I290" s="78"/>
      <c r="L290" t="e">
        <f t="shared" si="8"/>
        <v>#REF!</v>
      </c>
      <c r="M290" t="e">
        <f>VLOOKUP(B290,[1]Sheet4!$A$4:$C$86,2,0)</f>
        <v>#N/A</v>
      </c>
    </row>
    <row r="291" spans="1:13" ht="25.5" customHeight="1">
      <c r="B291" s="79" t="s">
        <v>288</v>
      </c>
      <c r="C291" s="80" t="s">
        <v>289</v>
      </c>
      <c r="D291" s="81" t="s">
        <v>290</v>
      </c>
      <c r="E291" s="82"/>
      <c r="F291" s="83" t="s">
        <v>289</v>
      </c>
      <c r="G291" s="84"/>
      <c r="H291" s="85" t="s">
        <v>291</v>
      </c>
      <c r="I291" s="86" t="s">
        <v>289</v>
      </c>
      <c r="L291" t="e">
        <f t="shared" si="8"/>
        <v>#REF!</v>
      </c>
      <c r="M291" t="e">
        <f>VLOOKUP(B291,[1]Sheet4!$A$4:$C$86,2,0)</f>
        <v>#N/A</v>
      </c>
    </row>
    <row r="292" spans="1:13" ht="15.75">
      <c r="B292" s="87">
        <v>1</v>
      </c>
      <c r="C292" s="87" t="s">
        <v>292</v>
      </c>
      <c r="D292" s="88">
        <v>11</v>
      </c>
      <c r="E292" s="89"/>
      <c r="F292" s="90" t="s">
        <v>293</v>
      </c>
      <c r="G292" s="91"/>
      <c r="H292" s="92">
        <v>21</v>
      </c>
      <c r="I292" s="93" t="s">
        <v>293</v>
      </c>
      <c r="L292" t="e">
        <f t="shared" si="8"/>
        <v>#REF!</v>
      </c>
      <c r="M292" t="e">
        <f>VLOOKUP(B292,[1]Sheet4!$A$4:$C$86,2,0)</f>
        <v>#N/A</v>
      </c>
    </row>
    <row r="293" spans="1:13" ht="20.100000000000001" customHeight="1">
      <c r="B293" s="87">
        <v>2</v>
      </c>
      <c r="C293" s="93" t="s">
        <v>293</v>
      </c>
      <c r="D293" s="88">
        <v>12</v>
      </c>
      <c r="E293" s="89"/>
      <c r="F293" s="94" t="s">
        <v>294</v>
      </c>
      <c r="G293" s="95"/>
      <c r="H293" s="92">
        <v>22</v>
      </c>
      <c r="I293" s="87" t="s">
        <v>292</v>
      </c>
      <c r="L293" t="e">
        <f t="shared" si="8"/>
        <v>#REF!</v>
      </c>
      <c r="M293" t="e">
        <f>VLOOKUP(B293,[1]Sheet4!$A$4:$C$86,2,0)</f>
        <v>#N/A</v>
      </c>
    </row>
    <row r="294" spans="1:13" ht="15.75">
      <c r="B294" s="87">
        <v>3</v>
      </c>
      <c r="C294" s="93" t="s">
        <v>293</v>
      </c>
      <c r="D294" s="88">
        <v>13</v>
      </c>
      <c r="E294" s="89"/>
      <c r="F294" s="94" t="s">
        <v>295</v>
      </c>
      <c r="G294" s="95"/>
      <c r="H294" s="92">
        <v>23</v>
      </c>
      <c r="I294" s="93" t="s">
        <v>293</v>
      </c>
      <c r="K294" s="96"/>
      <c r="L294" t="e">
        <f t="shared" si="8"/>
        <v>#REF!</v>
      </c>
      <c r="M294" t="e">
        <f>VLOOKUP(B294,[1]Sheet4!$A$4:$C$86,2,0)</f>
        <v>#N/A</v>
      </c>
    </row>
    <row r="295" spans="1:13" ht="15.75">
      <c r="B295" s="87">
        <v>4</v>
      </c>
      <c r="C295" s="93" t="s">
        <v>293</v>
      </c>
      <c r="D295" s="88">
        <v>14</v>
      </c>
      <c r="E295" s="89"/>
      <c r="F295" s="94" t="s">
        <v>292</v>
      </c>
      <c r="G295" s="95"/>
      <c r="H295" s="92">
        <v>24</v>
      </c>
      <c r="I295" s="87" t="s">
        <v>295</v>
      </c>
      <c r="K295" s="96"/>
      <c r="L295" t="e">
        <f t="shared" si="8"/>
        <v>#REF!</v>
      </c>
      <c r="M295" t="e">
        <f>VLOOKUP(B295,[1]Sheet4!$A$4:$C$86,2,0)</f>
        <v>#N/A</v>
      </c>
    </row>
    <row r="296" spans="1:13" ht="15.75">
      <c r="B296" s="87">
        <v>5</v>
      </c>
      <c r="C296" s="93" t="s">
        <v>293</v>
      </c>
      <c r="D296" s="88">
        <v>15</v>
      </c>
      <c r="E296" s="89"/>
      <c r="F296" s="94" t="s">
        <v>294</v>
      </c>
      <c r="G296" s="95"/>
      <c r="H296" s="92">
        <v>25</v>
      </c>
      <c r="I296" s="93" t="s">
        <v>293</v>
      </c>
      <c r="K296" s="96"/>
      <c r="L296" t="e">
        <f t="shared" si="8"/>
        <v>#REF!</v>
      </c>
      <c r="M296" t="e">
        <f>VLOOKUP(B296,[1]Sheet4!$A$4:$C$86,2,0)</f>
        <v>#N/A</v>
      </c>
    </row>
    <row r="297" spans="1:13" ht="15.75">
      <c r="B297" s="87">
        <v>6</v>
      </c>
      <c r="C297" s="93" t="s">
        <v>293</v>
      </c>
      <c r="D297" s="88">
        <v>16</v>
      </c>
      <c r="E297" s="89"/>
      <c r="F297" s="90" t="s">
        <v>293</v>
      </c>
      <c r="G297" s="91"/>
      <c r="H297" s="92">
        <v>26</v>
      </c>
      <c r="I297" s="93" t="s">
        <v>293</v>
      </c>
      <c r="J297" s="97"/>
      <c r="K297" s="96"/>
      <c r="L297" t="e">
        <f t="shared" si="8"/>
        <v>#REF!</v>
      </c>
      <c r="M297" t="e">
        <f>VLOOKUP(B297,[1]Sheet4!$A$4:$C$86,2,0)</f>
        <v>#N/A</v>
      </c>
    </row>
    <row r="298" spans="1:13" ht="15.75">
      <c r="B298" s="87">
        <v>7</v>
      </c>
      <c r="C298" s="93" t="s">
        <v>293</v>
      </c>
      <c r="D298" s="88">
        <v>17</v>
      </c>
      <c r="E298" s="89"/>
      <c r="F298" s="94" t="s">
        <v>296</v>
      </c>
      <c r="G298" s="95"/>
      <c r="H298" s="92">
        <v>27</v>
      </c>
      <c r="I298" s="93" t="s">
        <v>293</v>
      </c>
      <c r="J298" s="97"/>
      <c r="K298" s="96"/>
      <c r="L298" t="e">
        <f t="shared" si="8"/>
        <v>#REF!</v>
      </c>
      <c r="M298" t="e">
        <f>VLOOKUP(B298,[1]Sheet4!$A$4:$C$86,2,0)</f>
        <v>#N/A</v>
      </c>
    </row>
    <row r="299" spans="1:13" ht="15.75">
      <c r="B299" s="87">
        <v>8</v>
      </c>
      <c r="C299" s="93" t="s">
        <v>293</v>
      </c>
      <c r="D299" s="88">
        <v>18</v>
      </c>
      <c r="E299" s="89"/>
      <c r="F299" s="90" t="s">
        <v>293</v>
      </c>
      <c r="G299" s="91"/>
      <c r="H299" s="92">
        <v>28</v>
      </c>
      <c r="I299" s="93" t="s">
        <v>293</v>
      </c>
      <c r="J299" s="97"/>
      <c r="K299" s="96"/>
      <c r="L299" t="e">
        <f t="shared" si="8"/>
        <v>#REF!</v>
      </c>
      <c r="M299" t="e">
        <f>VLOOKUP(B299,[1]Sheet4!$A$4:$C$86,2,0)</f>
        <v>#N/A</v>
      </c>
    </row>
    <row r="300" spans="1:13" ht="15.75">
      <c r="B300" s="87">
        <v>9</v>
      </c>
      <c r="C300" s="93" t="s">
        <v>293</v>
      </c>
      <c r="D300" s="88">
        <v>19</v>
      </c>
      <c r="E300" s="89"/>
      <c r="F300" s="94" t="s">
        <v>297</v>
      </c>
      <c r="G300" s="95"/>
      <c r="H300" s="92">
        <v>29</v>
      </c>
      <c r="I300" s="93" t="s">
        <v>293</v>
      </c>
      <c r="J300" s="97"/>
      <c r="K300" s="96"/>
      <c r="L300" t="e">
        <f t="shared" si="8"/>
        <v>#REF!</v>
      </c>
      <c r="M300" t="e">
        <f>VLOOKUP(B300,[1]Sheet4!$A$4:$C$86,2,0)</f>
        <v>#N/A</v>
      </c>
    </row>
    <row r="301" spans="1:13" ht="15.75">
      <c r="B301" s="87">
        <v>10</v>
      </c>
      <c r="C301" s="93" t="s">
        <v>293</v>
      </c>
      <c r="D301" s="88">
        <v>20</v>
      </c>
      <c r="E301" s="89"/>
      <c r="F301" s="94" t="s">
        <v>292</v>
      </c>
      <c r="G301" s="95"/>
      <c r="H301" s="92"/>
      <c r="I301" s="98"/>
      <c r="J301" s="97"/>
      <c r="K301" s="96"/>
      <c r="L301" t="e">
        <f t="shared" si="8"/>
        <v>#REF!</v>
      </c>
      <c r="M301" t="e">
        <f>VLOOKUP(B301,[1]Sheet4!$A$4:$C$86,2,0)</f>
        <v>#N/A</v>
      </c>
    </row>
    <row r="302" spans="1:13">
      <c r="J302" s="97"/>
      <c r="K302" s="96"/>
      <c r="L302" t="e">
        <f t="shared" si="8"/>
        <v>#REF!</v>
      </c>
      <c r="M302" t="e">
        <f>VLOOKUP(B302,[1]Sheet4!$A$4:$C$86,2,0)</f>
        <v>#N/A</v>
      </c>
    </row>
    <row r="303" spans="1:13">
      <c r="J303" s="97"/>
      <c r="K303" s="96"/>
      <c r="L303" t="e">
        <f t="shared" si="8"/>
        <v>#REF!</v>
      </c>
      <c r="M303" t="e">
        <f>VLOOKUP(B303,[1]Sheet4!$A$4:$C$86,2,0)</f>
        <v>#N/A</v>
      </c>
    </row>
    <row r="304" spans="1:13">
      <c r="J304" s="97"/>
      <c r="K304" s="96"/>
      <c r="L304" t="e">
        <f t="shared" si="8"/>
        <v>#REF!</v>
      </c>
      <c r="M304" t="e">
        <f>VLOOKUP(B304,[1]Sheet4!$A$4:$C$86,2,0)</f>
        <v>#N/A</v>
      </c>
    </row>
    <row r="305" spans="10:13">
      <c r="J305" s="97"/>
      <c r="L305" t="e">
        <f t="shared" si="8"/>
        <v>#REF!</v>
      </c>
      <c r="M305" t="e">
        <f>VLOOKUP(B305,[1]Sheet4!$A$4:$C$86,2,0)</f>
        <v>#N/A</v>
      </c>
    </row>
    <row r="306" spans="10:13">
      <c r="J306" s="97"/>
      <c r="L306" t="e">
        <f t="shared" si="8"/>
        <v>#REF!</v>
      </c>
      <c r="M306" t="e">
        <f>VLOOKUP(B306,[1]Sheet4!$A$4:$C$86,2,0)</f>
        <v>#N/A</v>
      </c>
    </row>
    <row r="307" spans="10:13">
      <c r="J307" s="97"/>
      <c r="K307" s="96"/>
      <c r="L307" t="e">
        <f t="shared" si="8"/>
        <v>#REF!</v>
      </c>
      <c r="M307" t="e">
        <f>VLOOKUP(B307,[1]Sheet4!$A$4:$C$86,2,0)</f>
        <v>#N/A</v>
      </c>
    </row>
    <row r="308" spans="10:13" ht="20.100000000000001" customHeight="1">
      <c r="K308" s="96"/>
      <c r="L308" t="e">
        <f t="shared" si="8"/>
        <v>#REF!</v>
      </c>
      <c r="M308" t="e">
        <f>VLOOKUP(B308,[1]Sheet4!$A$4:$C$86,2,0)</f>
        <v>#N/A</v>
      </c>
    </row>
    <row r="309" spans="10:13" ht="20.100000000000001" customHeight="1">
      <c r="K309" s="96"/>
      <c r="L309" t="e">
        <f t="shared" si="8"/>
        <v>#REF!</v>
      </c>
      <c r="M309" t="e">
        <f>VLOOKUP(B309,[1]Sheet4!$A$4:$C$86,2,0)</f>
        <v>#N/A</v>
      </c>
    </row>
    <row r="310" spans="10:13" ht="20.100000000000001" customHeight="1">
      <c r="L310" t="e">
        <f t="shared" si="8"/>
        <v>#REF!</v>
      </c>
      <c r="M310" t="e">
        <f>VLOOKUP(B310,[1]Sheet4!$A$4:$C$86,2,0)</f>
        <v>#N/A</v>
      </c>
    </row>
    <row r="311" spans="10:13">
      <c r="L311" t="e">
        <f t="shared" si="8"/>
        <v>#REF!</v>
      </c>
      <c r="M311" t="e">
        <f>VLOOKUP(B311,[1]Sheet4!$A$4:$C$86,2,0)</f>
        <v>#N/A</v>
      </c>
    </row>
    <row r="312" spans="10:13">
      <c r="L312" t="e">
        <f t="shared" si="8"/>
        <v>#REF!</v>
      </c>
      <c r="M312" t="e">
        <f>VLOOKUP(B312,[1]Sheet4!$A$4:$C$86,2,0)</f>
        <v>#N/A</v>
      </c>
    </row>
    <row r="313" spans="10:13">
      <c r="L313" t="e">
        <f t="shared" si="8"/>
        <v>#REF!</v>
      </c>
      <c r="M313" t="e">
        <f>VLOOKUP(B313,[1]Sheet4!$A$4:$C$86,2,0)</f>
        <v>#N/A</v>
      </c>
    </row>
    <row r="314" spans="10:13">
      <c r="L314" t="e">
        <f t="shared" si="8"/>
        <v>#REF!</v>
      </c>
      <c r="M314" t="e">
        <f>VLOOKUP(B314,[1]Sheet4!$A$4:$C$86,2,0)</f>
        <v>#N/A</v>
      </c>
    </row>
    <row r="315" spans="10:13">
      <c r="L315" t="e">
        <f t="shared" si="8"/>
        <v>#REF!</v>
      </c>
      <c r="M315" t="e">
        <f>VLOOKUP(B315,[1]Sheet4!$A$4:$C$86,2,0)</f>
        <v>#N/A</v>
      </c>
    </row>
    <row r="316" spans="10:13">
      <c r="L316" t="e">
        <f t="shared" si="8"/>
        <v>#REF!</v>
      </c>
      <c r="M316" t="e">
        <f>VLOOKUP(B316,[1]Sheet4!$A$4:$C$86,2,0)</f>
        <v>#N/A</v>
      </c>
    </row>
    <row r="317" spans="10:13">
      <c r="L317" t="e">
        <f t="shared" si="8"/>
        <v>#REF!</v>
      </c>
      <c r="M317" t="e">
        <f>VLOOKUP(B317,[1]Sheet4!$A$4:$C$86,2,0)</f>
        <v>#N/A</v>
      </c>
    </row>
    <row r="318" spans="10:13">
      <c r="L318" t="e">
        <f t="shared" si="8"/>
        <v>#REF!</v>
      </c>
      <c r="M318" t="e">
        <f>VLOOKUP(B318,[1]Sheet4!$A$4:$C$86,2,0)</f>
        <v>#N/A</v>
      </c>
    </row>
    <row r="319" spans="10:13">
      <c r="L319" t="e">
        <f t="shared" si="8"/>
        <v>#REF!</v>
      </c>
      <c r="M319" t="e">
        <f>VLOOKUP(B319,[1]Sheet4!$A$4:$C$86,2,0)</f>
        <v>#N/A</v>
      </c>
    </row>
    <row r="320" spans="10:13">
      <c r="L320" t="e">
        <f t="shared" si="8"/>
        <v>#REF!</v>
      </c>
      <c r="M320" t="e">
        <f>VLOOKUP(B320,[1]Sheet4!$A$4:$C$86,2,0)</f>
        <v>#N/A</v>
      </c>
    </row>
    <row r="321" spans="11:13">
      <c r="L321" t="e">
        <f t="shared" si="8"/>
        <v>#REF!</v>
      </c>
      <c r="M321" t="e">
        <f>VLOOKUP(B321,[1]Sheet4!$A$4:$C$86,2,0)</f>
        <v>#N/A</v>
      </c>
    </row>
    <row r="322" spans="11:13">
      <c r="L322" t="e">
        <f t="shared" si="8"/>
        <v>#REF!</v>
      </c>
      <c r="M322" t="e">
        <f>VLOOKUP(B322,[1]Sheet4!$A$4:$C$86,2,0)</f>
        <v>#N/A</v>
      </c>
    </row>
    <row r="323" spans="11:13">
      <c r="K323" s="100"/>
      <c r="L323" t="e">
        <f t="shared" si="8"/>
        <v>#REF!</v>
      </c>
      <c r="M323" t="e">
        <f>VLOOKUP(B323,[1]Sheet4!$A$4:$C$86,2,0)</f>
        <v>#N/A</v>
      </c>
    </row>
    <row r="324" spans="11:13">
      <c r="K324" s="100"/>
      <c r="L324" t="e">
        <f t="shared" si="8"/>
        <v>#REF!</v>
      </c>
      <c r="M324" t="e">
        <f>VLOOKUP(B324,[1]Sheet4!$A$4:$C$86,2,0)</f>
        <v>#N/A</v>
      </c>
    </row>
    <row r="325" spans="11:13">
      <c r="K325" s="100"/>
      <c r="L325" t="e">
        <f t="shared" si="8"/>
        <v>#REF!</v>
      </c>
      <c r="M325" t="e">
        <f>VLOOKUP(B325,[1]Sheet4!$A$4:$C$86,2,0)</f>
        <v>#N/A</v>
      </c>
    </row>
    <row r="326" spans="11:13">
      <c r="L326" t="e">
        <f t="shared" si="8"/>
        <v>#REF!</v>
      </c>
      <c r="M326" t="e">
        <f>VLOOKUP(B326,[1]Sheet4!$A$4:$C$86,2,0)</f>
        <v>#N/A</v>
      </c>
    </row>
    <row r="327" spans="11:13">
      <c r="L327" t="e">
        <f t="shared" si="8"/>
        <v>#REF!</v>
      </c>
      <c r="M327" t="e">
        <f>VLOOKUP(B327,[1]Sheet4!$A$4:$C$86,2,0)</f>
        <v>#N/A</v>
      </c>
    </row>
    <row r="328" spans="11:13">
      <c r="L328" t="e">
        <f t="shared" si="8"/>
        <v>#REF!</v>
      </c>
      <c r="M328" t="e">
        <f>VLOOKUP(B328,[1]Sheet4!$A$4:$C$86,2,0)</f>
        <v>#N/A</v>
      </c>
    </row>
    <row r="329" spans="11:13">
      <c r="L329" t="e">
        <f t="shared" si="8"/>
        <v>#REF!</v>
      </c>
      <c r="M329" t="e">
        <f>VLOOKUP(B329,[1]Sheet4!$A$4:$C$86,2,0)</f>
        <v>#N/A</v>
      </c>
    </row>
    <row r="330" spans="11:13">
      <c r="L330" t="e">
        <f t="shared" si="8"/>
        <v>#REF!</v>
      </c>
      <c r="M330" t="e">
        <f>VLOOKUP(B330,[1]Sheet4!$A$4:$C$86,2,0)</f>
        <v>#N/A</v>
      </c>
    </row>
    <row r="331" spans="11:13">
      <c r="L331" t="e">
        <f t="shared" si="8"/>
        <v>#REF!</v>
      </c>
      <c r="M331" t="e">
        <f>VLOOKUP(B331,[1]Sheet4!$A$4:$C$86,2,0)</f>
        <v>#N/A</v>
      </c>
    </row>
    <row r="332" spans="11:13">
      <c r="L332" t="e">
        <f t="shared" si="8"/>
        <v>#REF!</v>
      </c>
      <c r="M332" t="e">
        <f>VLOOKUP(B332,[1]Sheet4!$A$4:$C$86,2,0)</f>
        <v>#N/A</v>
      </c>
    </row>
    <row r="333" spans="11:13" ht="15" customHeight="1">
      <c r="L333" t="e">
        <f t="shared" si="8"/>
        <v>#REF!</v>
      </c>
      <c r="M333" t="e">
        <f>VLOOKUP(B333,[1]Sheet4!$A$4:$C$86,2,0)</f>
        <v>#N/A</v>
      </c>
    </row>
    <row r="334" spans="11:13" ht="12.75" customHeight="1">
      <c r="L334" t="e">
        <f t="shared" ref="L334:L388" si="9">IF(J334="",L333,J334)</f>
        <v>#REF!</v>
      </c>
      <c r="M334" t="e">
        <f>VLOOKUP(B334,[1]Sheet4!$A$4:$C$86,2,0)</f>
        <v>#N/A</v>
      </c>
    </row>
    <row r="335" spans="11:13">
      <c r="L335" t="e">
        <f t="shared" si="9"/>
        <v>#REF!</v>
      </c>
      <c r="M335" t="e">
        <f>VLOOKUP(B335,[1]Sheet4!$A$4:$C$86,2,0)</f>
        <v>#N/A</v>
      </c>
    </row>
    <row r="336" spans="11:13">
      <c r="L336" t="e">
        <f t="shared" si="9"/>
        <v>#REF!</v>
      </c>
      <c r="M336" t="e">
        <f>VLOOKUP(B336,[1]Sheet4!$A$4:$C$86,2,0)</f>
        <v>#N/A</v>
      </c>
    </row>
    <row r="337" spans="12:13">
      <c r="L337" t="e">
        <f t="shared" si="9"/>
        <v>#REF!</v>
      </c>
      <c r="M337" t="e">
        <f>VLOOKUP(B337,[1]Sheet4!$A$4:$C$86,2,0)</f>
        <v>#N/A</v>
      </c>
    </row>
    <row r="338" spans="12:13">
      <c r="L338" t="e">
        <f t="shared" si="9"/>
        <v>#REF!</v>
      </c>
      <c r="M338" t="e">
        <f>VLOOKUP(B338,[1]Sheet4!$A$4:$C$86,2,0)</f>
        <v>#N/A</v>
      </c>
    </row>
    <row r="339" spans="12:13">
      <c r="L339" t="e">
        <f t="shared" si="9"/>
        <v>#REF!</v>
      </c>
      <c r="M339" t="e">
        <f>VLOOKUP(B339,[1]Sheet4!$A$4:$C$86,2,0)</f>
        <v>#N/A</v>
      </c>
    </row>
    <row r="340" spans="12:13">
      <c r="L340" t="e">
        <f t="shared" si="9"/>
        <v>#REF!</v>
      </c>
      <c r="M340" t="e">
        <f>VLOOKUP(B340,[1]Sheet4!$A$4:$C$86,2,0)</f>
        <v>#N/A</v>
      </c>
    </row>
    <row r="341" spans="12:13">
      <c r="L341" t="e">
        <f t="shared" si="9"/>
        <v>#REF!</v>
      </c>
      <c r="M341" t="e">
        <f>VLOOKUP(B341,[1]Sheet4!$A$4:$C$86,2,0)</f>
        <v>#N/A</v>
      </c>
    </row>
    <row r="342" spans="12:13">
      <c r="L342" t="e">
        <f t="shared" si="9"/>
        <v>#REF!</v>
      </c>
      <c r="M342" t="e">
        <f>VLOOKUP(B342,[1]Sheet4!$A$4:$C$86,2,0)</f>
        <v>#N/A</v>
      </c>
    </row>
    <row r="343" spans="12:13">
      <c r="L343" t="e">
        <f t="shared" si="9"/>
        <v>#REF!</v>
      </c>
      <c r="M343" t="e">
        <f>VLOOKUP(B343,[1]Sheet4!$A$4:$C$86,2,0)</f>
        <v>#N/A</v>
      </c>
    </row>
    <row r="344" spans="12:13">
      <c r="L344" t="e">
        <f t="shared" si="9"/>
        <v>#REF!</v>
      </c>
      <c r="M344" t="e">
        <f>VLOOKUP(B344,[1]Sheet4!$A$4:$C$86,2,0)</f>
        <v>#N/A</v>
      </c>
    </row>
    <row r="345" spans="12:13">
      <c r="L345" t="e">
        <f t="shared" si="9"/>
        <v>#REF!</v>
      </c>
      <c r="M345" t="e">
        <f>VLOOKUP(B345,[1]Sheet4!$A$4:$C$86,2,0)</f>
        <v>#N/A</v>
      </c>
    </row>
    <row r="346" spans="12:13">
      <c r="L346" t="e">
        <f t="shared" si="9"/>
        <v>#REF!</v>
      </c>
      <c r="M346" t="e">
        <f>VLOOKUP(B346,[1]Sheet4!$A$4:$C$86,2,0)</f>
        <v>#N/A</v>
      </c>
    </row>
    <row r="347" spans="12:13">
      <c r="L347" t="e">
        <f t="shared" si="9"/>
        <v>#REF!</v>
      </c>
      <c r="M347" t="e">
        <f>VLOOKUP(B347,[1]Sheet4!$A$4:$C$86,2,0)</f>
        <v>#N/A</v>
      </c>
    </row>
    <row r="348" spans="12:13">
      <c r="L348" t="e">
        <f t="shared" si="9"/>
        <v>#REF!</v>
      </c>
      <c r="M348" t="e">
        <f>VLOOKUP(B348,[1]Sheet4!$A$4:$C$86,2,0)</f>
        <v>#N/A</v>
      </c>
    </row>
    <row r="349" spans="12:13">
      <c r="L349" t="e">
        <f t="shared" si="9"/>
        <v>#REF!</v>
      </c>
      <c r="M349" t="e">
        <f>VLOOKUP(B349,[1]Sheet4!$A$4:$C$86,2,0)</f>
        <v>#N/A</v>
      </c>
    </row>
    <row r="350" spans="12:13">
      <c r="L350" t="e">
        <f t="shared" si="9"/>
        <v>#REF!</v>
      </c>
      <c r="M350" t="e">
        <f>VLOOKUP(B350,[1]Sheet4!$A$4:$C$86,2,0)</f>
        <v>#N/A</v>
      </c>
    </row>
    <row r="351" spans="12:13">
      <c r="L351" t="e">
        <f t="shared" si="9"/>
        <v>#REF!</v>
      </c>
      <c r="M351" t="e">
        <f>VLOOKUP(B351,[1]Sheet4!$A$4:$C$86,2,0)</f>
        <v>#N/A</v>
      </c>
    </row>
    <row r="352" spans="12:13">
      <c r="L352" t="e">
        <f t="shared" si="9"/>
        <v>#REF!</v>
      </c>
      <c r="M352" t="e">
        <f>VLOOKUP(B352,[1]Sheet4!$A$4:$C$86,2,0)</f>
        <v>#N/A</v>
      </c>
    </row>
    <row r="353" spans="12:13">
      <c r="L353" t="e">
        <f t="shared" si="9"/>
        <v>#REF!</v>
      </c>
      <c r="M353" t="e">
        <f>VLOOKUP(B353,[1]Sheet4!$A$4:$C$86,2,0)</f>
        <v>#N/A</v>
      </c>
    </row>
    <row r="354" spans="12:13">
      <c r="L354" t="e">
        <f t="shared" si="9"/>
        <v>#REF!</v>
      </c>
      <c r="M354" t="e">
        <f>VLOOKUP(B354,[1]Sheet4!$A$4:$C$86,2,0)</f>
        <v>#N/A</v>
      </c>
    </row>
    <row r="355" spans="12:13">
      <c r="L355" t="e">
        <f t="shared" si="9"/>
        <v>#REF!</v>
      </c>
      <c r="M355" t="e">
        <f>VLOOKUP(B355,[1]Sheet4!$A$4:$C$86,2,0)</f>
        <v>#N/A</v>
      </c>
    </row>
    <row r="356" spans="12:13">
      <c r="L356" t="e">
        <f t="shared" si="9"/>
        <v>#REF!</v>
      </c>
      <c r="M356" t="e">
        <f>VLOOKUP(B356,[1]Sheet4!$A$4:$C$86,2,0)</f>
        <v>#N/A</v>
      </c>
    </row>
    <row r="357" spans="12:13">
      <c r="L357" t="e">
        <f t="shared" si="9"/>
        <v>#REF!</v>
      </c>
      <c r="M357" t="e">
        <f>VLOOKUP(B357,[1]Sheet4!$A$4:$C$86,2,0)</f>
        <v>#N/A</v>
      </c>
    </row>
    <row r="358" spans="12:13">
      <c r="L358" t="e">
        <f t="shared" si="9"/>
        <v>#REF!</v>
      </c>
      <c r="M358" t="e">
        <f>VLOOKUP(B358,[1]Sheet4!$A$4:$C$86,2,0)</f>
        <v>#N/A</v>
      </c>
    </row>
    <row r="359" spans="12:13">
      <c r="L359" t="e">
        <f t="shared" si="9"/>
        <v>#REF!</v>
      </c>
      <c r="M359" t="e">
        <f>VLOOKUP(B359,[1]Sheet4!$A$4:$C$86,2,0)</f>
        <v>#N/A</v>
      </c>
    </row>
    <row r="360" spans="12:13">
      <c r="L360" t="e">
        <f t="shared" si="9"/>
        <v>#REF!</v>
      </c>
      <c r="M360" t="e">
        <f>VLOOKUP(B360,[1]Sheet4!$A$4:$C$86,2,0)</f>
        <v>#N/A</v>
      </c>
    </row>
    <row r="361" spans="12:13">
      <c r="L361" t="e">
        <f t="shared" si="9"/>
        <v>#REF!</v>
      </c>
      <c r="M361" t="e">
        <f>VLOOKUP(B361,[1]Sheet4!$A$4:$C$86,2,0)</f>
        <v>#N/A</v>
      </c>
    </row>
    <row r="362" spans="12:13">
      <c r="L362" t="e">
        <f t="shared" si="9"/>
        <v>#REF!</v>
      </c>
      <c r="M362" t="e">
        <f>VLOOKUP(B362,[1]Sheet4!$A$4:$C$86,2,0)</f>
        <v>#N/A</v>
      </c>
    </row>
    <row r="363" spans="12:13" ht="20.25" customHeight="1">
      <c r="L363" t="e">
        <f t="shared" si="9"/>
        <v>#REF!</v>
      </c>
      <c r="M363" t="e">
        <f>VLOOKUP(B363,[1]Sheet4!$A$4:$C$86,2,0)</f>
        <v>#N/A</v>
      </c>
    </row>
    <row r="364" spans="12:13">
      <c r="L364" t="e">
        <f t="shared" si="9"/>
        <v>#REF!</v>
      </c>
      <c r="M364" t="e">
        <f>VLOOKUP(B364,[1]Sheet4!$A$4:$C$86,2,0)</f>
        <v>#N/A</v>
      </c>
    </row>
    <row r="365" spans="12:13">
      <c r="L365" t="e">
        <f t="shared" si="9"/>
        <v>#REF!</v>
      </c>
      <c r="M365" t="e">
        <f>VLOOKUP(B365,[1]Sheet4!$A$4:$C$86,2,0)</f>
        <v>#N/A</v>
      </c>
    </row>
    <row r="366" spans="12:13">
      <c r="L366" t="e">
        <f t="shared" si="9"/>
        <v>#REF!</v>
      </c>
      <c r="M366" t="e">
        <f>VLOOKUP(B366,[1]Sheet4!$A$4:$C$86,2,0)</f>
        <v>#N/A</v>
      </c>
    </row>
    <row r="367" spans="12:13">
      <c r="L367" t="e">
        <f t="shared" si="9"/>
        <v>#REF!</v>
      </c>
      <c r="M367" t="e">
        <f>VLOOKUP(B367,[1]Sheet4!$A$4:$C$86,2,0)</f>
        <v>#N/A</v>
      </c>
    </row>
    <row r="368" spans="12:13">
      <c r="L368" t="e">
        <f t="shared" si="9"/>
        <v>#REF!</v>
      </c>
    </row>
    <row r="369" spans="12:12">
      <c r="L369" t="e">
        <f t="shared" si="9"/>
        <v>#REF!</v>
      </c>
    </row>
    <row r="370" spans="12:12">
      <c r="L370" t="e">
        <f t="shared" si="9"/>
        <v>#REF!</v>
      </c>
    </row>
    <row r="371" spans="12:12">
      <c r="L371" t="e">
        <f t="shared" si="9"/>
        <v>#REF!</v>
      </c>
    </row>
    <row r="372" spans="12:12">
      <c r="L372" t="e">
        <f t="shared" si="9"/>
        <v>#REF!</v>
      </c>
    </row>
    <row r="373" spans="12:12">
      <c r="L373" t="e">
        <f t="shared" si="9"/>
        <v>#REF!</v>
      </c>
    </row>
    <row r="374" spans="12:12">
      <c r="L374" t="e">
        <f t="shared" si="9"/>
        <v>#REF!</v>
      </c>
    </row>
    <row r="375" spans="12:12">
      <c r="L375" t="e">
        <f t="shared" si="9"/>
        <v>#REF!</v>
      </c>
    </row>
    <row r="376" spans="12:12">
      <c r="L376" t="e">
        <f t="shared" si="9"/>
        <v>#REF!</v>
      </c>
    </row>
    <row r="377" spans="12:12">
      <c r="L377" t="e">
        <f t="shared" si="9"/>
        <v>#REF!</v>
      </c>
    </row>
    <row r="378" spans="12:12">
      <c r="L378" t="e">
        <f t="shared" si="9"/>
        <v>#REF!</v>
      </c>
    </row>
    <row r="379" spans="12:12">
      <c r="L379" t="e">
        <f t="shared" si="9"/>
        <v>#REF!</v>
      </c>
    </row>
    <row r="380" spans="12:12">
      <c r="L380" t="e">
        <f t="shared" si="9"/>
        <v>#REF!</v>
      </c>
    </row>
    <row r="381" spans="12:12">
      <c r="L381" t="e">
        <f t="shared" si="9"/>
        <v>#REF!</v>
      </c>
    </row>
    <row r="382" spans="12:12">
      <c r="L382" t="e">
        <f t="shared" si="9"/>
        <v>#REF!</v>
      </c>
    </row>
    <row r="383" spans="12:12">
      <c r="L383" t="e">
        <f t="shared" si="9"/>
        <v>#REF!</v>
      </c>
    </row>
    <row r="384" spans="12:12">
      <c r="L384" t="e">
        <f t="shared" si="9"/>
        <v>#REF!</v>
      </c>
    </row>
    <row r="385" spans="12:12">
      <c r="L385" t="e">
        <f t="shared" si="9"/>
        <v>#REF!</v>
      </c>
    </row>
    <row r="386" spans="12:12">
      <c r="L386" t="e">
        <f t="shared" si="9"/>
        <v>#REF!</v>
      </c>
    </row>
    <row r="387" spans="12:12">
      <c r="L387" t="e">
        <f t="shared" si="9"/>
        <v>#REF!</v>
      </c>
    </row>
    <row r="388" spans="12:12">
      <c r="L388" t="e">
        <f t="shared" si="9"/>
        <v>#REF!</v>
      </c>
    </row>
    <row r="393" spans="12:12" ht="14.25" customHeight="1"/>
    <row r="398" spans="12:12" ht="12" customHeight="1"/>
  </sheetData>
  <mergeCells count="584">
    <mergeCell ref="D301:E301"/>
    <mergeCell ref="F301:G301"/>
    <mergeCell ref="D298:E298"/>
    <mergeCell ref="F298:G298"/>
    <mergeCell ref="D299:E299"/>
    <mergeCell ref="F299:G299"/>
    <mergeCell ref="D300:E300"/>
    <mergeCell ref="F300:G300"/>
    <mergeCell ref="D295:E295"/>
    <mergeCell ref="F295:G295"/>
    <mergeCell ref="D296:E296"/>
    <mergeCell ref="F296:G296"/>
    <mergeCell ref="D297:E297"/>
    <mergeCell ref="F297:G297"/>
    <mergeCell ref="D292:E292"/>
    <mergeCell ref="F292:G292"/>
    <mergeCell ref="D293:E293"/>
    <mergeCell ref="F293:G293"/>
    <mergeCell ref="D294:E294"/>
    <mergeCell ref="F294:G294"/>
    <mergeCell ref="E285:I285"/>
    <mergeCell ref="A286:C286"/>
    <mergeCell ref="A287:I287"/>
    <mergeCell ref="B290:I290"/>
    <mergeCell ref="D291:E291"/>
    <mergeCell ref="F291:G291"/>
    <mergeCell ref="A278:I278"/>
    <mergeCell ref="A279:I279"/>
    <mergeCell ref="A280:I280"/>
    <mergeCell ref="E281:I281"/>
    <mergeCell ref="A283:I283"/>
    <mergeCell ref="A284:C284"/>
    <mergeCell ref="C276:E276"/>
    <mergeCell ref="F276:H276"/>
    <mergeCell ref="I276:J276"/>
    <mergeCell ref="C277:E277"/>
    <mergeCell ref="F277:H277"/>
    <mergeCell ref="I277:J277"/>
    <mergeCell ref="C274:E274"/>
    <mergeCell ref="F274:H274"/>
    <mergeCell ref="I274:J274"/>
    <mergeCell ref="C275:E275"/>
    <mergeCell ref="F275:H275"/>
    <mergeCell ref="I275:J275"/>
    <mergeCell ref="A271:J271"/>
    <mergeCell ref="A272:A273"/>
    <mergeCell ref="B272:B273"/>
    <mergeCell ref="C272:E273"/>
    <mergeCell ref="F272:H273"/>
    <mergeCell ref="I272:J273"/>
    <mergeCell ref="B267:F267"/>
    <mergeCell ref="G267:H267"/>
    <mergeCell ref="B268:F268"/>
    <mergeCell ref="G268:H268"/>
    <mergeCell ref="A269:F269"/>
    <mergeCell ref="G269:H269"/>
    <mergeCell ref="B264:F264"/>
    <mergeCell ref="G264:H264"/>
    <mergeCell ref="B265:F265"/>
    <mergeCell ref="G265:H265"/>
    <mergeCell ref="B266:F266"/>
    <mergeCell ref="G266:H266"/>
    <mergeCell ref="B261:F261"/>
    <mergeCell ref="G261:H261"/>
    <mergeCell ref="B262:F262"/>
    <mergeCell ref="G262:H262"/>
    <mergeCell ref="B263:F263"/>
    <mergeCell ref="G263:H263"/>
    <mergeCell ref="B258:F258"/>
    <mergeCell ref="G258:H258"/>
    <mergeCell ref="B259:F259"/>
    <mergeCell ref="G259:H259"/>
    <mergeCell ref="B260:F260"/>
    <mergeCell ref="G260:H260"/>
    <mergeCell ref="B255:F255"/>
    <mergeCell ref="G255:H255"/>
    <mergeCell ref="B256:F256"/>
    <mergeCell ref="G256:H256"/>
    <mergeCell ref="B257:F257"/>
    <mergeCell ref="G257:H257"/>
    <mergeCell ref="B252:F252"/>
    <mergeCell ref="G252:H252"/>
    <mergeCell ref="B253:F253"/>
    <mergeCell ref="G253:H253"/>
    <mergeCell ref="B254:F254"/>
    <mergeCell ref="G254:H254"/>
    <mergeCell ref="B249:F249"/>
    <mergeCell ref="G249:H249"/>
    <mergeCell ref="B250:F250"/>
    <mergeCell ref="G250:H250"/>
    <mergeCell ref="B251:F251"/>
    <mergeCell ref="G251:H251"/>
    <mergeCell ref="B246:F246"/>
    <mergeCell ref="G246:H246"/>
    <mergeCell ref="B247:F247"/>
    <mergeCell ref="G247:H247"/>
    <mergeCell ref="B248:F248"/>
    <mergeCell ref="G248:H248"/>
    <mergeCell ref="B243:F243"/>
    <mergeCell ref="G243:H243"/>
    <mergeCell ref="B244:F244"/>
    <mergeCell ref="G244:H244"/>
    <mergeCell ref="B245:F245"/>
    <mergeCell ref="G245:H245"/>
    <mergeCell ref="B240:F240"/>
    <mergeCell ref="G240:H240"/>
    <mergeCell ref="B241:F241"/>
    <mergeCell ref="G241:H241"/>
    <mergeCell ref="B242:F242"/>
    <mergeCell ref="G242:H242"/>
    <mergeCell ref="B237:F237"/>
    <mergeCell ref="G237:H237"/>
    <mergeCell ref="B238:F238"/>
    <mergeCell ref="G238:H238"/>
    <mergeCell ref="B239:F239"/>
    <mergeCell ref="G239:H239"/>
    <mergeCell ref="B234:F234"/>
    <mergeCell ref="G234:H234"/>
    <mergeCell ref="B235:F235"/>
    <mergeCell ref="G235:H235"/>
    <mergeCell ref="B236:F236"/>
    <mergeCell ref="G236:H236"/>
    <mergeCell ref="B231:F231"/>
    <mergeCell ref="G231:H231"/>
    <mergeCell ref="B232:F232"/>
    <mergeCell ref="G232:H232"/>
    <mergeCell ref="B233:F233"/>
    <mergeCell ref="G233:H233"/>
    <mergeCell ref="B228:F228"/>
    <mergeCell ref="G228:H228"/>
    <mergeCell ref="B229:F229"/>
    <mergeCell ref="G229:H229"/>
    <mergeCell ref="B230:F230"/>
    <mergeCell ref="G230:H230"/>
    <mergeCell ref="B225:F225"/>
    <mergeCell ref="G225:H225"/>
    <mergeCell ref="B226:F226"/>
    <mergeCell ref="G226:H226"/>
    <mergeCell ref="B227:F227"/>
    <mergeCell ref="G227:H227"/>
    <mergeCell ref="B222:F222"/>
    <mergeCell ref="G222:H222"/>
    <mergeCell ref="B223:F223"/>
    <mergeCell ref="G223:H223"/>
    <mergeCell ref="B224:F224"/>
    <mergeCell ref="G224:H224"/>
    <mergeCell ref="B219:F219"/>
    <mergeCell ref="G219:H219"/>
    <mergeCell ref="B220:F220"/>
    <mergeCell ref="G220:H220"/>
    <mergeCell ref="B221:F221"/>
    <mergeCell ref="G221:H221"/>
    <mergeCell ref="B216:F216"/>
    <mergeCell ref="G216:H216"/>
    <mergeCell ref="B217:F217"/>
    <mergeCell ref="G217:H217"/>
    <mergeCell ref="B218:F218"/>
    <mergeCell ref="G218:H218"/>
    <mergeCell ref="B213:F213"/>
    <mergeCell ref="G213:H213"/>
    <mergeCell ref="B214:F214"/>
    <mergeCell ref="G214:H214"/>
    <mergeCell ref="B215:F215"/>
    <mergeCell ref="G215:H215"/>
    <mergeCell ref="B210:F210"/>
    <mergeCell ref="G210:H210"/>
    <mergeCell ref="B211:F211"/>
    <mergeCell ref="G211:H211"/>
    <mergeCell ref="B212:F212"/>
    <mergeCell ref="G212:H212"/>
    <mergeCell ref="B207:F207"/>
    <mergeCell ref="G207:H207"/>
    <mergeCell ref="B208:F208"/>
    <mergeCell ref="G208:H208"/>
    <mergeCell ref="B209:F209"/>
    <mergeCell ref="G209:H209"/>
    <mergeCell ref="B204:F204"/>
    <mergeCell ref="G204:H204"/>
    <mergeCell ref="B205:F205"/>
    <mergeCell ref="G205:H205"/>
    <mergeCell ref="B206:F206"/>
    <mergeCell ref="G206:H206"/>
    <mergeCell ref="B201:F201"/>
    <mergeCell ref="G201:H201"/>
    <mergeCell ref="B202:F202"/>
    <mergeCell ref="G202:H202"/>
    <mergeCell ref="B203:F203"/>
    <mergeCell ref="G203:H203"/>
    <mergeCell ref="B198:F198"/>
    <mergeCell ref="G198:H198"/>
    <mergeCell ref="B199:F199"/>
    <mergeCell ref="G199:H199"/>
    <mergeCell ref="B200:F200"/>
    <mergeCell ref="G200:H200"/>
    <mergeCell ref="B195:F195"/>
    <mergeCell ref="G195:H195"/>
    <mergeCell ref="B196:F196"/>
    <mergeCell ref="G196:H196"/>
    <mergeCell ref="B197:F197"/>
    <mergeCell ref="G197:H197"/>
    <mergeCell ref="B192:F192"/>
    <mergeCell ref="G192:H192"/>
    <mergeCell ref="B193:F193"/>
    <mergeCell ref="G193:H193"/>
    <mergeCell ref="B194:F194"/>
    <mergeCell ref="G194:H194"/>
    <mergeCell ref="B189:F189"/>
    <mergeCell ref="G189:H189"/>
    <mergeCell ref="B190:F190"/>
    <mergeCell ref="G190:H190"/>
    <mergeCell ref="B191:F191"/>
    <mergeCell ref="G191:H191"/>
    <mergeCell ref="B186:F186"/>
    <mergeCell ref="G186:H186"/>
    <mergeCell ref="B187:F187"/>
    <mergeCell ref="G187:H187"/>
    <mergeCell ref="B188:F188"/>
    <mergeCell ref="G188:H188"/>
    <mergeCell ref="B183:F183"/>
    <mergeCell ref="G183:H183"/>
    <mergeCell ref="B184:F184"/>
    <mergeCell ref="G184:H184"/>
    <mergeCell ref="B185:F185"/>
    <mergeCell ref="G185:H185"/>
    <mergeCell ref="B180:F180"/>
    <mergeCell ref="G180:H180"/>
    <mergeCell ref="B181:F181"/>
    <mergeCell ref="G181:H181"/>
    <mergeCell ref="B182:F182"/>
    <mergeCell ref="G182:H182"/>
    <mergeCell ref="B177:F177"/>
    <mergeCell ref="G177:H177"/>
    <mergeCell ref="B178:F178"/>
    <mergeCell ref="G178:H178"/>
    <mergeCell ref="B179:F179"/>
    <mergeCell ref="G179:H179"/>
    <mergeCell ref="B174:F174"/>
    <mergeCell ref="G174:H174"/>
    <mergeCell ref="B175:F175"/>
    <mergeCell ref="G175:H175"/>
    <mergeCell ref="B176:F176"/>
    <mergeCell ref="G176:H176"/>
    <mergeCell ref="B171:F171"/>
    <mergeCell ref="G171:H171"/>
    <mergeCell ref="B172:F172"/>
    <mergeCell ref="G172:H172"/>
    <mergeCell ref="B173:F173"/>
    <mergeCell ref="G173:H173"/>
    <mergeCell ref="B168:F168"/>
    <mergeCell ref="G168:H168"/>
    <mergeCell ref="B169:F169"/>
    <mergeCell ref="G169:H169"/>
    <mergeCell ref="B170:F170"/>
    <mergeCell ref="G170:H170"/>
    <mergeCell ref="B165:F165"/>
    <mergeCell ref="G165:H165"/>
    <mergeCell ref="B166:F166"/>
    <mergeCell ref="G166:H166"/>
    <mergeCell ref="B167:F167"/>
    <mergeCell ref="G167:H167"/>
    <mergeCell ref="B162:F162"/>
    <mergeCell ref="G162:H162"/>
    <mergeCell ref="B163:F163"/>
    <mergeCell ref="G163:H163"/>
    <mergeCell ref="B164:F164"/>
    <mergeCell ref="G164:H164"/>
    <mergeCell ref="B159:F159"/>
    <mergeCell ref="G159:H159"/>
    <mergeCell ref="B160:F160"/>
    <mergeCell ref="G160:H160"/>
    <mergeCell ref="B161:F161"/>
    <mergeCell ref="G161:H161"/>
    <mergeCell ref="B156:F156"/>
    <mergeCell ref="G156:H156"/>
    <mergeCell ref="B157:F157"/>
    <mergeCell ref="G157:H157"/>
    <mergeCell ref="B158:F158"/>
    <mergeCell ref="G158:H158"/>
    <mergeCell ref="B153:F153"/>
    <mergeCell ref="G153:H153"/>
    <mergeCell ref="B154:F154"/>
    <mergeCell ref="G154:H154"/>
    <mergeCell ref="B155:F155"/>
    <mergeCell ref="G155:H155"/>
    <mergeCell ref="B150:F150"/>
    <mergeCell ref="G150:H150"/>
    <mergeCell ref="B151:F151"/>
    <mergeCell ref="G151:H151"/>
    <mergeCell ref="B152:F152"/>
    <mergeCell ref="G152:H152"/>
    <mergeCell ref="B147:F147"/>
    <mergeCell ref="G147:H147"/>
    <mergeCell ref="B148:F148"/>
    <mergeCell ref="G148:H148"/>
    <mergeCell ref="B149:F149"/>
    <mergeCell ref="G149:H149"/>
    <mergeCell ref="B144:F144"/>
    <mergeCell ref="G144:H144"/>
    <mergeCell ref="B145:F145"/>
    <mergeCell ref="G145:H145"/>
    <mergeCell ref="B146:F146"/>
    <mergeCell ref="G146:H146"/>
    <mergeCell ref="B141:F141"/>
    <mergeCell ref="G141:H141"/>
    <mergeCell ref="B142:F142"/>
    <mergeCell ref="G142:H142"/>
    <mergeCell ref="B143:F143"/>
    <mergeCell ref="G143:H143"/>
    <mergeCell ref="B138:F138"/>
    <mergeCell ref="G138:H138"/>
    <mergeCell ref="B139:F139"/>
    <mergeCell ref="G139:H139"/>
    <mergeCell ref="B140:F140"/>
    <mergeCell ref="G140:H140"/>
    <mergeCell ref="B135:F135"/>
    <mergeCell ref="G135:H135"/>
    <mergeCell ref="B136:F136"/>
    <mergeCell ref="G136:H136"/>
    <mergeCell ref="B137:F137"/>
    <mergeCell ref="G137:H137"/>
    <mergeCell ref="B132:F132"/>
    <mergeCell ref="G132:H132"/>
    <mergeCell ref="B133:F133"/>
    <mergeCell ref="G133:H133"/>
    <mergeCell ref="B134:F134"/>
    <mergeCell ref="G134:H134"/>
    <mergeCell ref="B129:F129"/>
    <mergeCell ref="G129:H129"/>
    <mergeCell ref="B130:F130"/>
    <mergeCell ref="G130:H130"/>
    <mergeCell ref="B131:F131"/>
    <mergeCell ref="G131:H131"/>
    <mergeCell ref="B126:F126"/>
    <mergeCell ref="G126:H126"/>
    <mergeCell ref="B127:F127"/>
    <mergeCell ref="G127:H127"/>
    <mergeCell ref="B128:F128"/>
    <mergeCell ref="G128:H128"/>
    <mergeCell ref="B123:F123"/>
    <mergeCell ref="G123:H123"/>
    <mergeCell ref="B124:F124"/>
    <mergeCell ref="G124:H124"/>
    <mergeCell ref="B125:F125"/>
    <mergeCell ref="G125:H125"/>
    <mergeCell ref="B120:F120"/>
    <mergeCell ref="G120:H120"/>
    <mergeCell ref="B121:F121"/>
    <mergeCell ref="G121:H121"/>
    <mergeCell ref="B122:F122"/>
    <mergeCell ref="G122:H122"/>
    <mergeCell ref="B117:F117"/>
    <mergeCell ref="G117:H117"/>
    <mergeCell ref="B118:F118"/>
    <mergeCell ref="G118:H118"/>
    <mergeCell ref="B119:F119"/>
    <mergeCell ref="G119:H119"/>
    <mergeCell ref="B114:F114"/>
    <mergeCell ref="G114:H114"/>
    <mergeCell ref="B115:F115"/>
    <mergeCell ref="G115:H115"/>
    <mergeCell ref="B116:F116"/>
    <mergeCell ref="G116:H116"/>
    <mergeCell ref="B111:F111"/>
    <mergeCell ref="G111:H111"/>
    <mergeCell ref="B112:F112"/>
    <mergeCell ref="G112:H112"/>
    <mergeCell ref="B113:F113"/>
    <mergeCell ref="G113:H113"/>
    <mergeCell ref="B108:F108"/>
    <mergeCell ref="G108:H108"/>
    <mergeCell ref="B109:F109"/>
    <mergeCell ref="G109:H109"/>
    <mergeCell ref="B110:F110"/>
    <mergeCell ref="G110:H110"/>
    <mergeCell ref="B105:F105"/>
    <mergeCell ref="G105:H105"/>
    <mergeCell ref="B106:F106"/>
    <mergeCell ref="G106:H106"/>
    <mergeCell ref="B107:F107"/>
    <mergeCell ref="G107:H107"/>
    <mergeCell ref="B102:F102"/>
    <mergeCell ref="G102:H102"/>
    <mergeCell ref="B103:F103"/>
    <mergeCell ref="G103:H103"/>
    <mergeCell ref="B104:F104"/>
    <mergeCell ref="G104:H104"/>
    <mergeCell ref="B99:F99"/>
    <mergeCell ref="G99:H99"/>
    <mergeCell ref="B100:F100"/>
    <mergeCell ref="G100:H100"/>
    <mergeCell ref="B101:F101"/>
    <mergeCell ref="G101:H101"/>
    <mergeCell ref="B96:F96"/>
    <mergeCell ref="G96:H96"/>
    <mergeCell ref="B97:F97"/>
    <mergeCell ref="G97:H97"/>
    <mergeCell ref="B98:F98"/>
    <mergeCell ref="G98:H98"/>
    <mergeCell ref="B93:F93"/>
    <mergeCell ref="G93:H93"/>
    <mergeCell ref="B94:F94"/>
    <mergeCell ref="G94:H94"/>
    <mergeCell ref="B95:F95"/>
    <mergeCell ref="G95:H95"/>
    <mergeCell ref="B90:F90"/>
    <mergeCell ref="G90:H90"/>
    <mergeCell ref="B91:F91"/>
    <mergeCell ref="G91:H91"/>
    <mergeCell ref="B92:F92"/>
    <mergeCell ref="G92:H92"/>
    <mergeCell ref="B87:F87"/>
    <mergeCell ref="G87:H87"/>
    <mergeCell ref="B88:F88"/>
    <mergeCell ref="G88:H88"/>
    <mergeCell ref="B89:F89"/>
    <mergeCell ref="G89:H89"/>
    <mergeCell ref="B84:F84"/>
    <mergeCell ref="G84:H84"/>
    <mergeCell ref="B85:F85"/>
    <mergeCell ref="G85:H85"/>
    <mergeCell ref="B86:F86"/>
    <mergeCell ref="G86:H86"/>
    <mergeCell ref="B81:F81"/>
    <mergeCell ref="G81:H81"/>
    <mergeCell ref="B82:F82"/>
    <mergeCell ref="G82:H82"/>
    <mergeCell ref="B83:F83"/>
    <mergeCell ref="G83:H83"/>
    <mergeCell ref="B78:F78"/>
    <mergeCell ref="G78:H78"/>
    <mergeCell ref="B79:F79"/>
    <mergeCell ref="G79:H79"/>
    <mergeCell ref="B80:F80"/>
    <mergeCell ref="G80:H80"/>
    <mergeCell ref="B75:F75"/>
    <mergeCell ref="G75:H75"/>
    <mergeCell ref="B76:F76"/>
    <mergeCell ref="G76:H76"/>
    <mergeCell ref="B77:F77"/>
    <mergeCell ref="G77:H77"/>
    <mergeCell ref="B72:F72"/>
    <mergeCell ref="G72:H72"/>
    <mergeCell ref="B73:F73"/>
    <mergeCell ref="G73:H73"/>
    <mergeCell ref="B74:F74"/>
    <mergeCell ref="G74:H74"/>
    <mergeCell ref="B69:F69"/>
    <mergeCell ref="G69:H69"/>
    <mergeCell ref="B70:F70"/>
    <mergeCell ref="G70:H70"/>
    <mergeCell ref="B71:F71"/>
    <mergeCell ref="G71:H71"/>
    <mergeCell ref="B66:F66"/>
    <mergeCell ref="G66:H66"/>
    <mergeCell ref="B67:F67"/>
    <mergeCell ref="G67:H67"/>
    <mergeCell ref="B68:F68"/>
    <mergeCell ref="G68:H68"/>
    <mergeCell ref="B63:F63"/>
    <mergeCell ref="G63:H63"/>
    <mergeCell ref="B64:F64"/>
    <mergeCell ref="G64:H64"/>
    <mergeCell ref="B65:F65"/>
    <mergeCell ref="G65:H65"/>
    <mergeCell ref="B60:F60"/>
    <mergeCell ref="G60:H60"/>
    <mergeCell ref="B61:F61"/>
    <mergeCell ref="G61:H61"/>
    <mergeCell ref="B62:F62"/>
    <mergeCell ref="G62:H62"/>
    <mergeCell ref="B57:F57"/>
    <mergeCell ref="G57:H57"/>
    <mergeCell ref="B58:F58"/>
    <mergeCell ref="G58:H58"/>
    <mergeCell ref="B59:F59"/>
    <mergeCell ref="G59:H59"/>
    <mergeCell ref="B54:F54"/>
    <mergeCell ref="G54:H54"/>
    <mergeCell ref="B55:F55"/>
    <mergeCell ref="G55:H55"/>
    <mergeCell ref="B56:F56"/>
    <mergeCell ref="G56:H56"/>
    <mergeCell ref="B51:F51"/>
    <mergeCell ref="G51:H51"/>
    <mergeCell ref="B52:F52"/>
    <mergeCell ref="G52:H52"/>
    <mergeCell ref="B53:F53"/>
    <mergeCell ref="G53:H53"/>
    <mergeCell ref="B48:F48"/>
    <mergeCell ref="G48:H48"/>
    <mergeCell ref="B49:F49"/>
    <mergeCell ref="G49:H49"/>
    <mergeCell ref="B50:F50"/>
    <mergeCell ref="G50:H50"/>
    <mergeCell ref="B45:F45"/>
    <mergeCell ref="G45:H45"/>
    <mergeCell ref="B46:F46"/>
    <mergeCell ref="G46:H46"/>
    <mergeCell ref="B47:F47"/>
    <mergeCell ref="G47:H47"/>
    <mergeCell ref="B42:F42"/>
    <mergeCell ref="G42:H42"/>
    <mergeCell ref="B43:F43"/>
    <mergeCell ref="G43:H43"/>
    <mergeCell ref="B44:F44"/>
    <mergeCell ref="G44:H44"/>
    <mergeCell ref="B39:F39"/>
    <mergeCell ref="G39:H39"/>
    <mergeCell ref="B40:F40"/>
    <mergeCell ref="G40:H40"/>
    <mergeCell ref="B41:F41"/>
    <mergeCell ref="G41:H41"/>
    <mergeCell ref="B36:F36"/>
    <mergeCell ref="G36:H36"/>
    <mergeCell ref="B37:F37"/>
    <mergeCell ref="G37:H37"/>
    <mergeCell ref="B38:F38"/>
    <mergeCell ref="G38:H38"/>
    <mergeCell ref="B33:F33"/>
    <mergeCell ref="G33:H33"/>
    <mergeCell ref="B34:F34"/>
    <mergeCell ref="G34:H34"/>
    <mergeCell ref="B35:F35"/>
    <mergeCell ref="G35:H35"/>
    <mergeCell ref="B30:F30"/>
    <mergeCell ref="G30:H30"/>
    <mergeCell ref="B31:F31"/>
    <mergeCell ref="G31:H31"/>
    <mergeCell ref="B32:F32"/>
    <mergeCell ref="G32:H32"/>
    <mergeCell ref="B27:F27"/>
    <mergeCell ref="G27:H27"/>
    <mergeCell ref="B28:F28"/>
    <mergeCell ref="G28:H28"/>
    <mergeCell ref="B29:F29"/>
    <mergeCell ref="G29:H29"/>
    <mergeCell ref="B24:F24"/>
    <mergeCell ref="G24:H24"/>
    <mergeCell ref="B25:F25"/>
    <mergeCell ref="G25:H25"/>
    <mergeCell ref="B26:F26"/>
    <mergeCell ref="G26:H26"/>
    <mergeCell ref="B21:F21"/>
    <mergeCell ref="G21:H21"/>
    <mergeCell ref="B22:F22"/>
    <mergeCell ref="G22:H22"/>
    <mergeCell ref="B23:F23"/>
    <mergeCell ref="G23:H23"/>
    <mergeCell ref="B18:F18"/>
    <mergeCell ref="G18:H18"/>
    <mergeCell ref="B19:F19"/>
    <mergeCell ref="G19:H19"/>
    <mergeCell ref="B20:F20"/>
    <mergeCell ref="G20:H20"/>
    <mergeCell ref="B15:F15"/>
    <mergeCell ref="G15:H15"/>
    <mergeCell ref="B16:F16"/>
    <mergeCell ref="G16:H16"/>
    <mergeCell ref="B17:F17"/>
    <mergeCell ref="G17:H17"/>
    <mergeCell ref="B12:F12"/>
    <mergeCell ref="G12:H12"/>
    <mergeCell ref="B13:F13"/>
    <mergeCell ref="G13:H13"/>
    <mergeCell ref="B14:F14"/>
    <mergeCell ref="G14:H14"/>
    <mergeCell ref="B9:F9"/>
    <mergeCell ref="G9:H9"/>
    <mergeCell ref="B10:F10"/>
    <mergeCell ref="G10:H10"/>
    <mergeCell ref="B11:F11"/>
    <mergeCell ref="G11:H11"/>
    <mergeCell ref="B6:F6"/>
    <mergeCell ref="G6:H6"/>
    <mergeCell ref="B7:F7"/>
    <mergeCell ref="G7:H7"/>
    <mergeCell ref="B8:F8"/>
    <mergeCell ref="G8:H8"/>
    <mergeCell ref="A1:J1"/>
    <mergeCell ref="A2:J2"/>
    <mergeCell ref="B4:F4"/>
    <mergeCell ref="G4:H4"/>
    <mergeCell ref="B5:F5"/>
    <mergeCell ref="G5:H5"/>
  </mergeCells>
  <conditionalFormatting sqref="B6:B268">
    <cfRule type="expression" dxfId="0" priority="1">
      <formula>AND(G6="", I6="")</formula>
    </cfRule>
  </conditionalFormatting>
  <pageMargins left="0.35433070866141703" right="0.23622047244094499" top="0.23622047244094499" bottom="0.39370078740157499" header="0.27559055118110198" footer="0.31496062992126"/>
  <pageSetup paperSize="256" scale="62" orientation="landscape" horizontalDpi="4294967293" verticalDpi="360" r:id="rId1"/>
  <rowBreaks count="5" manualBreakCount="5">
    <brk id="60" max="9" man="1"/>
    <brk id="122" max="9" man="1"/>
    <brk id="184" max="9" man="1"/>
    <brk id="246" max="9" man="1"/>
    <brk id="321" max="9" man="1"/>
  </rowBreaks>
  <colBreaks count="1" manualBreakCount="1">
    <brk id="10" max="22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warta 19</vt:lpstr>
      <vt:lpstr>'warta 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jeje thayo</dc:creator>
  <cp:lastModifiedBy>jeje thayo</cp:lastModifiedBy>
  <dcterms:created xsi:type="dcterms:W3CDTF">2026-08-20T09:57:25Z</dcterms:created>
  <dcterms:modified xsi:type="dcterms:W3CDTF">2026-08-20T09:57:37Z</dcterms:modified>
</cp:coreProperties>
</file>